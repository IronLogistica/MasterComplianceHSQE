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VALUTAZIONE DEI RISCH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20"/>
      <scheme val="minor"/>
    </font>
    <font>
      <name val="Calibri"/>
      <family val="2"/>
      <sz val="10"/>
      <scheme val="minor"/>
    </font>
    <font>
      <name val="Calibri"/>
      <family val="2"/>
      <b val="1"/>
      <i val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1" fillId="0" borderId="1" applyAlignment="1" pivotButton="0" quotePrefix="1" xfId="0">
      <alignment horizontal="center" vertical="center" wrapText="1"/>
    </xf>
    <xf numFmtId="0" fontId="2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9" fontId="2" fillId="0" borderId="1" applyAlignment="1" pivotButton="0" quotePrefix="1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 wrapText="1"/>
    </xf>
    <xf numFmtId="1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9" borderId="1" applyAlignment="1" pivotButton="0" quotePrefix="0" xfId="0">
      <alignment horizontal="center" vertical="center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tabSelected="1" zoomScaleNormal="100" workbookViewId="0">
      <pane xSplit="5" ySplit="3" topLeftCell="F22" activePane="bottomRight" state="frozen"/>
      <selection pane="topRight" activeCell="D1" sqref="D1"/>
      <selection pane="bottomLeft" activeCell="A3" sqref="A3"/>
      <selection pane="bottomRight" activeCell="B22" sqref="B22"/>
    </sheetView>
  </sheetViews>
  <sheetFormatPr baseColWidth="8" defaultColWidth="9.109375" defaultRowHeight="13.8"/>
  <cols>
    <col width="5.44140625" customWidth="1" style="6" min="1" max="1"/>
    <col width="11.88671875" customWidth="1" style="6" min="2" max="2"/>
    <col width="12.44140625" customWidth="1" style="6" min="3" max="3"/>
    <col width="20.44140625" customWidth="1" style="1" min="4" max="4"/>
    <col width="7.33203125" customWidth="1" style="6" min="5" max="5"/>
    <col width="14.109375" customWidth="1" style="1" min="6" max="6"/>
    <col width="22.33203125" customWidth="1" style="1" min="7" max="7"/>
    <col width="23.44140625" customWidth="1" style="1" min="8" max="8"/>
    <col width="22" customWidth="1" style="1" min="9" max="9"/>
    <col width="12.33203125" customWidth="1" style="6" min="10" max="11"/>
    <col width="11.109375" customWidth="1" style="6" min="12" max="12"/>
    <col width="15.21875" customWidth="1" style="6" min="13" max="13"/>
    <col width="33.33203125" customWidth="1" style="1" min="14" max="14"/>
    <col width="16.44140625" customWidth="1" style="1" min="15" max="19"/>
    <col width="22.6640625" customWidth="1" style="1" min="20" max="20"/>
    <col width="18.6640625" customWidth="1" style="6" min="21" max="21"/>
    <col width="20.21875" customWidth="1" style="6" min="22" max="22"/>
    <col width="9.109375" customWidth="1" style="1" min="23" max="16384"/>
  </cols>
  <sheetData>
    <row r="1" ht="58.95" customHeight="1">
      <c r="A1" s="8" t="n"/>
      <c r="B1" s="8" t="n"/>
      <c r="C1" s="8" t="n"/>
      <c r="D1" s="9" t="n"/>
      <c r="E1" s="8" t="n"/>
      <c r="F1" s="9" t="n"/>
      <c r="G1" s="10" t="inlineStr">
        <is>
          <t>VALUTAZIONE DEI RISCHI ISO 14001</t>
        </is>
      </c>
      <c r="H1" s="11" t="n"/>
      <c r="I1" s="11" t="n"/>
      <c r="J1" s="12" t="n"/>
      <c r="K1" s="12" t="n"/>
      <c r="L1" s="12" t="n"/>
      <c r="M1" s="12" t="n"/>
      <c r="N1" s="13" t="n"/>
      <c r="O1" s="9" t="n"/>
      <c r="P1" s="9" t="n"/>
      <c r="Q1" s="9" t="n"/>
      <c r="R1" s="9" t="n"/>
      <c r="S1" s="9" t="n"/>
      <c r="T1" s="15" t="n"/>
      <c r="U1" s="37" t="inlineStr">
        <is>
          <t>Data ultimo Aggiornamento: 20-05-2024</t>
        </is>
      </c>
      <c r="V1" s="43" t="n"/>
    </row>
    <row r="2" ht="19.8" customHeight="1">
      <c r="A2" s="33" t="inlineStr">
        <is>
          <t>IDENTIFICAZIONE DEI PROCESSI</t>
        </is>
      </c>
      <c r="B2" s="44" t="n"/>
      <c r="C2" s="44" t="n"/>
      <c r="D2" s="45" t="n"/>
      <c r="E2" s="34" t="inlineStr">
        <is>
          <t>ANALISI DEL CONTESTO</t>
        </is>
      </c>
      <c r="F2" s="44" t="n"/>
      <c r="G2" s="44" t="n"/>
      <c r="H2" s="44" t="n"/>
      <c r="I2" s="45" t="n"/>
      <c r="J2" s="35" t="inlineStr">
        <is>
          <t>VALUTAZIONE DEI RISCHI</t>
        </is>
      </c>
      <c r="K2" s="44" t="n"/>
      <c r="L2" s="44" t="n"/>
      <c r="M2" s="45" t="n"/>
      <c r="N2" s="22" t="inlineStr">
        <is>
          <t>PIANO DI TRATTAMENTO DEL RISCHIO</t>
        </is>
      </c>
      <c r="O2" s="24" t="inlineStr">
        <is>
          <t>DOCUMENTI</t>
        </is>
      </c>
      <c r="P2" s="46" t="inlineStr">
        <is>
          <t>OBIETTIVI</t>
        </is>
      </c>
      <c r="Q2" s="44" t="n"/>
      <c r="R2" s="44" t="n"/>
      <c r="S2" s="45" t="n"/>
      <c r="T2" s="36" t="inlineStr">
        <is>
          <t>MONITORAGGIO E MISURAZIONE</t>
        </is>
      </c>
      <c r="U2" s="44" t="n"/>
      <c r="V2" s="45" t="n"/>
    </row>
    <row r="3" ht="41.4" customHeight="1">
      <c r="A3" s="16" t="inlineStr">
        <is>
          <t>nr.</t>
        </is>
      </c>
      <c r="B3" s="16" t="inlineStr">
        <is>
          <t>Tipo Schema</t>
        </is>
      </c>
      <c r="C3" s="16" t="inlineStr">
        <is>
          <t>Processo</t>
        </is>
      </c>
      <c r="D3" s="17" t="inlineStr">
        <is>
          <t>Questione</t>
        </is>
      </c>
      <c r="E3" s="18" t="inlineStr">
        <is>
          <t>I / E</t>
        </is>
      </c>
      <c r="F3" s="19" t="inlineStr">
        <is>
          <t>Parti interessate</t>
        </is>
      </c>
      <c r="G3" s="19" t="inlineStr">
        <is>
          <t>Descrizione</t>
        </is>
      </c>
      <c r="H3" s="19" t="inlineStr">
        <is>
          <t>Minaccia</t>
        </is>
      </c>
      <c r="I3" s="19" t="inlineStr">
        <is>
          <t>Opportunità</t>
        </is>
      </c>
      <c r="J3" s="20" t="inlineStr">
        <is>
          <t>Danno (D)
 (1= Bassa; 4= Alta)</t>
        </is>
      </c>
      <c r="K3" s="20" t="inlineStr">
        <is>
          <t>Probabilità (P)
 (1= Bassa; 4= Alta)</t>
        </is>
      </c>
      <c r="L3" s="21" t="inlineStr">
        <is>
          <t>Valutazione del Rischio R=PxD</t>
        </is>
      </c>
      <c r="M3" s="21" t="inlineStr">
        <is>
          <t>Valutazione</t>
        </is>
      </c>
      <c r="N3" s="23" t="inlineStr">
        <is>
          <t>Piano di Azioni Impostate</t>
        </is>
      </c>
      <c r="O3" s="27" t="inlineStr">
        <is>
          <t>INFORMAZIONI DOCUMENTATE</t>
        </is>
      </c>
      <c r="P3" s="29" t="inlineStr">
        <is>
          <t>DEFINIZIONE DELL'OBIETTIVO</t>
        </is>
      </c>
      <c r="Q3" s="28" t="inlineStr">
        <is>
          <t>RESPONSABILE</t>
        </is>
      </c>
      <c r="R3" s="28" t="inlineStr">
        <is>
          <t>RISORSE</t>
        </is>
      </c>
      <c r="S3" s="29" t="inlineStr">
        <is>
          <t>TEMPI DI COMPLETAMENTO</t>
        </is>
      </c>
      <c r="T3" s="25" t="inlineStr">
        <is>
          <t>INDICATORE DI MONITORAGGIO</t>
        </is>
      </c>
      <c r="U3" s="26" t="inlineStr">
        <is>
          <t>TARGET</t>
        </is>
      </c>
      <c r="V3" s="26" t="inlineStr">
        <is>
          <t>MISURA AL 30.06</t>
        </is>
      </c>
    </row>
    <row r="4" ht="68.40000000000001" customHeight="1">
      <c r="A4" s="2" t="n">
        <v>1</v>
      </c>
      <c r="B4" s="2" t="inlineStr">
        <is>
          <t>ISO 14001</t>
        </is>
      </c>
      <c r="C4" s="2" t="inlineStr">
        <is>
          <t>Contesto organizzativo</t>
        </is>
      </c>
      <c r="D4" s="3" t="inlineStr">
        <is>
          <t>Attribuzione mansioni, autorità e responsabilità</t>
        </is>
      </c>
      <c r="E4" s="2" t="inlineStr">
        <is>
          <t>I</t>
        </is>
      </c>
      <c r="F4" s="3" t="inlineStr">
        <is>
          <t>dipendenti</t>
        </is>
      </c>
      <c r="G4" s="3" t="inlineStr">
        <is>
          <t>avere un organigramma sempre aggiornato con un mansionario noto ai dipendenti</t>
        </is>
      </c>
      <c r="H4" s="3" t="inlineStr">
        <is>
          <t>deresponsabilizzazione delle risorse e clima aziendale non buono</t>
        </is>
      </c>
      <c r="I4" s="3" t="inlineStr">
        <is>
          <t>Migliorare la consapevolezza delle risorse interne</t>
        </is>
      </c>
      <c r="J4" s="2" t="n">
        <v>1</v>
      </c>
      <c r="K4" s="2" t="n">
        <v>1</v>
      </c>
      <c r="L4" s="2">
        <f>J4*K4</f>
        <v/>
      </c>
      <c r="M4" s="14">
        <f>IF(L4&lt;=4,"Mitigare il rischio",(IF(AND(L4&gt;4,L4&lt;9),"Mitigare il Rischio","Evitare il Rischio")))</f>
        <v/>
      </c>
      <c r="N4" s="3" t="inlineStr">
        <is>
          <t>Revisione periodica almeno annuale dell'organigramma aziendale in occasione dei riesami della direzione.</t>
        </is>
      </c>
      <c r="O4" s="3" t="inlineStr">
        <is>
          <t>Organigramma e mansionario</t>
        </is>
      </c>
      <c r="P4" s="3" t="inlineStr">
        <is>
          <t>Aggiornamento organigramma aziendale 1 volta all'anno</t>
        </is>
      </c>
      <c r="Q4" s="3" t="inlineStr">
        <is>
          <t>Amministratore Unico</t>
        </is>
      </c>
      <c r="R4" s="2" t="inlineStr">
        <is>
          <t>4 ore / uomo</t>
        </is>
      </c>
      <c r="S4" s="2" t="inlineStr">
        <is>
          <t>entro il 31.12.19</t>
        </is>
      </c>
      <c r="T4" s="4" t="inlineStr">
        <is>
          <t>NUMERO REVISIONI ANNUALI DELL'ORGANIGRAMMA AZIENDALE</t>
        </is>
      </c>
      <c r="U4" s="7" t="n">
        <v>1</v>
      </c>
      <c r="V4" s="30" t="n"/>
    </row>
    <row r="5" ht="69" customHeight="1">
      <c r="A5" s="2" t="n">
        <v>2</v>
      </c>
      <c r="B5" s="2" t="inlineStr">
        <is>
          <t>ISO 14001</t>
        </is>
      </c>
      <c r="C5" s="2" t="inlineStr">
        <is>
          <t>Leadership</t>
        </is>
      </c>
      <c r="D5" s="3" t="inlineStr">
        <is>
          <t>Definizione della politica aziendale</t>
        </is>
      </c>
      <c r="E5" s="2" t="inlineStr">
        <is>
          <t>I/E</t>
        </is>
      </c>
      <c r="F5" s="3" t="inlineStr">
        <is>
          <t>dipendenti, clienti, fornitori</t>
        </is>
      </c>
      <c r="G5" s="3" t="inlineStr">
        <is>
          <t>la politica dell'azienda deve rispettare i principi della qualità finalizzata a rendere massima la soddisfazione del cliente</t>
        </is>
      </c>
      <c r="H5" s="3" t="inlineStr">
        <is>
          <t>processi aziendali non impostati per garantire la massima soddisfazione del cliente</t>
        </is>
      </c>
      <c r="I5" s="3" t="inlineStr">
        <is>
          <t>Ottimizzare i processi interni con la funzione obiettivo di massimizzazione della soddisfazione cliente</t>
        </is>
      </c>
      <c r="J5" s="2" t="n">
        <v>1</v>
      </c>
      <c r="K5" s="2" t="n">
        <v>1</v>
      </c>
      <c r="L5" s="2">
        <f>J5*K5</f>
        <v/>
      </c>
      <c r="M5" s="14">
        <f>IF(L5&lt;=4,"Mitigare il rischio",(IF(AND(L5&gt;4,L5&lt;9),"Mitigare il Rischio","Evitare il Rischio")))</f>
        <v/>
      </c>
      <c r="N5" s="3" t="inlineStr">
        <is>
          <t>Revisione periodica almeno annuale della politica aziendale in occasione dei riesami della direzione.</t>
        </is>
      </c>
      <c r="O5" s="3" t="inlineStr">
        <is>
          <t>Politica aziendale</t>
        </is>
      </c>
      <c r="P5" s="3" t="inlineStr">
        <is>
          <t>Aggiornamento politica aziendale 1 volta all'anno</t>
        </is>
      </c>
      <c r="Q5" s="3" t="inlineStr">
        <is>
          <t>Amministratore Unico</t>
        </is>
      </c>
      <c r="R5" s="2" t="inlineStr">
        <is>
          <t>4 ore / uomo</t>
        </is>
      </c>
      <c r="S5" s="2" t="inlineStr">
        <is>
          <t>entro il 31.12.19</t>
        </is>
      </c>
      <c r="T5" s="4" t="inlineStr">
        <is>
          <t>NUMERO REVISIONI ANNUALI POLITICA AZIENDALE</t>
        </is>
      </c>
      <c r="U5" s="7" t="n">
        <v>1</v>
      </c>
      <c r="V5" s="30" t="n"/>
    </row>
    <row r="6" ht="90.59999999999999" customHeight="1">
      <c r="A6" s="2" t="n">
        <v>3</v>
      </c>
      <c r="B6" s="2" t="inlineStr">
        <is>
          <t>ISO 14001</t>
        </is>
      </c>
      <c r="C6" s="2" t="inlineStr">
        <is>
          <t>Pianificazione</t>
        </is>
      </c>
      <c r="D6" s="3" t="inlineStr">
        <is>
          <t>Effettuazione dell'analisi del contesto in cui si trova ad operare l'azienda</t>
        </is>
      </c>
      <c r="E6" s="2" t="inlineStr">
        <is>
          <t>I/E</t>
        </is>
      </c>
      <c r="F6" s="3" t="inlineStr">
        <is>
          <t>proprietà, dipendenti, clienti, fornitori, istituti di credito, autorità fiscali</t>
        </is>
      </c>
      <c r="G6" s="3" t="inlineStr">
        <is>
          <t>effettuare un'analisi del contesto che tenga in considerazione tutti i fattori interni ed esterni rilevanti per l'azienda</t>
        </is>
      </c>
      <c r="H6" s="3" t="inlineStr">
        <is>
          <t>Non considerare fattori interni ed esterni rilevanti</t>
        </is>
      </c>
      <c r="I6" s="3" t="inlineStr">
        <is>
          <t>Migliorare la verifica di tutti i fattori che possono influenzare l'attività dell'azienda</t>
        </is>
      </c>
      <c r="J6" s="2" t="n">
        <v>2</v>
      </c>
      <c r="K6" s="2" t="n">
        <v>1</v>
      </c>
      <c r="L6" s="2">
        <f>J6*K6</f>
        <v/>
      </c>
      <c r="M6" s="14">
        <f>IF(L6&lt;=4,"Mitigare il rischio",(IF(AND(L6&gt;4,L6&lt;9),"Mitigare il Rischio","Evitare il Rischio")))</f>
        <v/>
      </c>
      <c r="N6" s="3" t="inlineStr">
        <is>
          <t>Revisione periodica almeno annuale della valutazione del contesto aziendale in occasione dei riesami della direzione.</t>
        </is>
      </c>
      <c r="O6" s="3" t="inlineStr">
        <is>
          <t>Analisi del contesto</t>
        </is>
      </c>
      <c r="P6" s="3" t="inlineStr">
        <is>
          <t>Aggiornamento analisi del contesto 1 volta all'anno</t>
        </is>
      </c>
      <c r="Q6" s="3" t="inlineStr">
        <is>
          <t>Amministratore Unico</t>
        </is>
      </c>
      <c r="R6" s="2" t="inlineStr">
        <is>
          <t>4 ore / uomo</t>
        </is>
      </c>
      <c r="S6" s="2" t="inlineStr">
        <is>
          <t>entro il 31.12.19</t>
        </is>
      </c>
      <c r="T6" s="4" t="inlineStr">
        <is>
          <t>NUMERO REVISIONI ANNUALI ANALISI DEL CONTESTO</t>
        </is>
      </c>
      <c r="U6" s="7" t="n">
        <v>1</v>
      </c>
      <c r="V6" s="30" t="n"/>
    </row>
    <row r="7" ht="90.59999999999999" customHeight="1">
      <c r="A7" s="2" t="n">
        <v>4</v>
      </c>
      <c r="B7" s="2" t="inlineStr">
        <is>
          <t>ISO 14001</t>
        </is>
      </c>
      <c r="C7" s="2" t="inlineStr">
        <is>
          <t>Pianificazione</t>
        </is>
      </c>
      <c r="D7" s="3" t="inlineStr">
        <is>
          <t>Effettuazione dell'analisi dei rischi che l'azienda interfaccia</t>
        </is>
      </c>
      <c r="E7" s="2" t="inlineStr">
        <is>
          <t>I/E</t>
        </is>
      </c>
      <c r="F7" s="3" t="inlineStr">
        <is>
          <t>proprietà, dipendenti, clienti, fornitori, istituti di credito, autorità fiscali</t>
        </is>
      </c>
      <c r="G7" s="3" t="inlineStr">
        <is>
          <t>effettuare un'analisi dei rischi che tenga in considerazione tutti i fattoridi rischio interni ed esterni rilevanti per l'azienda</t>
        </is>
      </c>
      <c r="H7" s="3" t="inlineStr">
        <is>
          <t>Non considerare fattori do rischio interni ed esterni rilevanti</t>
        </is>
      </c>
      <c r="I7" s="3" t="inlineStr">
        <is>
          <t>Migliorare la verifica di tutti i fattori di rischio dell'attività dell'azienda</t>
        </is>
      </c>
      <c r="J7" s="2" t="n">
        <v>2</v>
      </c>
      <c r="K7" s="2" t="n">
        <v>2</v>
      </c>
      <c r="L7" s="2">
        <f>J7*K7</f>
        <v/>
      </c>
      <c r="M7" s="14">
        <f>IF(L7&lt;=4,"Mitigare il rischio",(IF(AND(L7&gt;4,L7&lt;9),"Mitigare il Rischio","Evitare il Rischio")))</f>
        <v/>
      </c>
      <c r="N7" s="3" t="inlineStr">
        <is>
          <t>Revisione periodica almeno annuale della valutazione dei rischi in occasione dei riesami della direzione.</t>
        </is>
      </c>
      <c r="O7" s="3" t="inlineStr">
        <is>
          <t>Analisi dei rischi</t>
        </is>
      </c>
      <c r="P7" s="3" t="inlineStr">
        <is>
          <t>Aggiornamento analisi dei rischi 1 volta all'anno</t>
        </is>
      </c>
      <c r="Q7" s="3" t="inlineStr">
        <is>
          <t>Assicurazione Qualità</t>
        </is>
      </c>
      <c r="R7" s="2" t="inlineStr">
        <is>
          <t>12 ore / uomo</t>
        </is>
      </c>
      <c r="S7" s="2" t="inlineStr">
        <is>
          <t>entro il 31.12.19</t>
        </is>
      </c>
      <c r="T7" s="4" t="inlineStr">
        <is>
          <t>NUMERO REVISIONI ANNUALI ANALISI DEI RISCHI</t>
        </is>
      </c>
      <c r="U7" s="7" t="n">
        <v>1</v>
      </c>
      <c r="V7" s="30" t="n"/>
    </row>
    <row r="8" ht="90.59999999999999" customHeight="1">
      <c r="A8" s="2" t="n">
        <v>5</v>
      </c>
      <c r="B8" s="2" t="inlineStr">
        <is>
          <t>ISO 14001</t>
        </is>
      </c>
      <c r="C8" s="2" t="inlineStr">
        <is>
          <t>Gestione Norme e Prescrizioni Legali</t>
        </is>
      </c>
      <c r="D8" s="3" t="inlineStr">
        <is>
          <t>Individuare tutte le norme, Regolamenti e Leggi applicabili all'azienda</t>
        </is>
      </c>
      <c r="E8" s="2" t="inlineStr">
        <is>
          <t>I/E</t>
        </is>
      </c>
      <c r="F8" s="3" t="inlineStr">
        <is>
          <t>proprietà, dipendenti, clienti, fornitori</t>
        </is>
      </c>
      <c r="G8" s="3" t="inlineStr">
        <is>
          <t>effettuare un'analisi attenta circa le cogenze legislative, regolamentari e normative a cui l'azienda deve sottostare</t>
        </is>
      </c>
      <c r="H8" s="3" t="inlineStr">
        <is>
          <t>Non considerare alcune norme, Regolamenti e Leggi applicabili all'azienda</t>
        </is>
      </c>
      <c r="I8" s="3" t="inlineStr">
        <is>
          <t>Migliorare l'aggiornamento legislativo, regolamentare e normativo applicabile all'azienda</t>
        </is>
      </c>
      <c r="J8" s="2" t="n">
        <v>3</v>
      </c>
      <c r="K8" s="2" t="n">
        <v>1</v>
      </c>
      <c r="L8" s="2">
        <f>J8*K8</f>
        <v/>
      </c>
      <c r="M8" s="14">
        <f>IF(L8&lt;=4,"Mitigare il rischio",(IF(AND(L8&gt;4,L8&lt;9),"Mitigare il Rischio","Evitare il Rischio")))</f>
        <v/>
      </c>
      <c r="N8" s="3" t="inlineStr">
        <is>
          <t>Revisione periodica almeno annuale delle prescrizioni legali in occasione dei riesami della direzione.</t>
        </is>
      </c>
      <c r="O8" s="3" t="inlineStr">
        <is>
          <t>Elenco delle Leggi, Regolamenti, Norme applicabili all'azienda</t>
        </is>
      </c>
      <c r="P8" s="3" t="inlineStr">
        <is>
          <t>Aggiornamento prescrizioni Legali 1 volta all'anno</t>
        </is>
      </c>
      <c r="Q8" s="3" t="inlineStr">
        <is>
          <t>Assicurazione Qualità</t>
        </is>
      </c>
      <c r="R8" s="2" t="inlineStr">
        <is>
          <t>18 ore / uomo</t>
        </is>
      </c>
      <c r="S8" s="2" t="inlineStr">
        <is>
          <t>entro il 31.12.19</t>
        </is>
      </c>
      <c r="T8" s="4" t="inlineStr">
        <is>
          <t>NUMERO REVISIONI ANNUALI PRESCRIZIONI LEGALI</t>
        </is>
      </c>
      <c r="U8" s="7" t="n">
        <v>1</v>
      </c>
      <c r="V8" s="30" t="n"/>
    </row>
    <row r="9" ht="90.59999999999999" customHeight="1">
      <c r="A9" s="2" t="n">
        <v>6</v>
      </c>
      <c r="B9" s="2" t="inlineStr">
        <is>
          <t>ISO 14001</t>
        </is>
      </c>
      <c r="C9" s="2" t="inlineStr">
        <is>
          <t>Gestione documentale</t>
        </is>
      </c>
      <c r="D9" s="3" t="inlineStr">
        <is>
          <t>Individuare tutte le informazioni documentate che occorre gestire a livello di sistema di gestione della qualità aziendale</t>
        </is>
      </c>
      <c r="E9" s="2" t="inlineStr">
        <is>
          <t>I</t>
        </is>
      </c>
      <c r="F9" s="3" t="inlineStr">
        <is>
          <t>proprietà, dipendenti, clienti, fornitori</t>
        </is>
      </c>
      <c r="G9" s="3" t="inlineStr">
        <is>
          <t>Effettuare un'analisi circa le informazioni documentate obbligatorie da gestire in azienda per dimostrare l'applicazione del sistema di gestione aziendale</t>
        </is>
      </c>
      <c r="H9" s="3" t="inlineStr">
        <is>
          <t>Non gestire un'informazione documentata che possa produrre una non conformità aziendale di gestione della qualità con un disturbo alla cliente finale.</t>
        </is>
      </c>
      <c r="I9" s="3" t="inlineStr">
        <is>
          <t>Razionalizzare tutta la documentazione gestita in azienda.</t>
        </is>
      </c>
      <c r="J9" s="2" t="n">
        <v>1</v>
      </c>
      <c r="K9" s="2" t="n">
        <v>1</v>
      </c>
      <c r="L9" s="2">
        <f>J9*K9</f>
        <v/>
      </c>
      <c r="M9" s="14">
        <f>IF(L9&lt;=4,"Mitigare il rischio",(IF(AND(L9&gt;4,L9&lt;9),"Mitigare il Rischio","Evitare il Rischio")))</f>
        <v/>
      </c>
      <c r="N9" s="3" t="inlineStr">
        <is>
          <t>Revisione periodica almeno annuale della lista delle informazioni documentate gestite in occasione dei riesami della direzione.</t>
        </is>
      </c>
      <c r="O9" s="3" t="inlineStr">
        <is>
          <t>Elenco delle informazioni documentate gestite a sistema</t>
        </is>
      </c>
      <c r="P9" s="3" t="inlineStr">
        <is>
          <t>Aggiornamento lista informazioni documentate  volta all'anno</t>
        </is>
      </c>
      <c r="Q9" s="3" t="inlineStr">
        <is>
          <t>Assicurazione Qualità</t>
        </is>
      </c>
      <c r="R9" s="2" t="inlineStr">
        <is>
          <t>4 ore / uomo</t>
        </is>
      </c>
      <c r="S9" s="2" t="inlineStr">
        <is>
          <t>entro il 31.12.19</t>
        </is>
      </c>
      <c r="T9" s="4" t="inlineStr">
        <is>
          <t>NUMERO REVISIONI ANNUALI INFORMAZIONI DOCUMENTATE</t>
        </is>
      </c>
      <c r="U9" s="7" t="n">
        <v>1</v>
      </c>
      <c r="V9" s="30" t="n"/>
      <c r="W9" s="1" t="inlineStr">
        <is>
          <t>349 755 2716</t>
        </is>
      </c>
    </row>
    <row r="10" ht="90.59999999999999" customHeight="1">
      <c r="A10" s="2" t="n">
        <v>7</v>
      </c>
      <c r="B10" s="2" t="inlineStr">
        <is>
          <t>ISO 14001</t>
        </is>
      </c>
      <c r="C10" s="2" t="inlineStr">
        <is>
          <t>Riesame della direzione</t>
        </is>
      </c>
      <c r="D10" s="3" t="inlineStr">
        <is>
          <t>Effettuazione del riesame della direzione che includa tutti i punti di discussione che la norma richiede</t>
        </is>
      </c>
      <c r="E10" s="2" t="inlineStr">
        <is>
          <t>I</t>
        </is>
      </c>
      <c r="F10" s="3" t="inlineStr">
        <is>
          <t>proprietà, dipendenti, clienti, fornitori</t>
        </is>
      </c>
      <c r="G10" s="3" t="inlineStr">
        <is>
          <t>Effettuare un riesame della direzione efficace e conforme alla norma tecnica</t>
        </is>
      </c>
      <c r="H10" s="3" t="inlineStr">
        <is>
          <t>Non effettuare il riesame della direzione secondo la periodicità richiesta e non in linea rispetto alle prescrizioni normative</t>
        </is>
      </c>
      <c r="I10" s="3" t="inlineStr">
        <is>
          <t>Cogliere il momento del riesame come momento autentico di revisione di tutte le attività poste in essere durante l'esercizio a partire dalla politica.</t>
        </is>
      </c>
      <c r="J10" s="2" t="n">
        <v>1</v>
      </c>
      <c r="K10" s="2" t="n">
        <v>2</v>
      </c>
      <c r="L10" s="2">
        <f>J10*K10</f>
        <v/>
      </c>
      <c r="M10" s="14">
        <f>IF(L10&lt;=4,"Mitigare il rischio",(IF(AND(L10&gt;4,L10&lt;9),"Mitigare il Rischio","Evitare il Rischio")))</f>
        <v/>
      </c>
      <c r="N10" s="3" t="inlineStr">
        <is>
          <t>Pianificazione del riesame della direzione annuale su template conforme alla norma ISO 9001:2015</t>
        </is>
      </c>
      <c r="O10" s="3" t="inlineStr">
        <is>
          <t>Verbale di riesame della Direzione</t>
        </is>
      </c>
      <c r="P10" s="3" t="inlineStr">
        <is>
          <t>Effettuazione del riesame della direzione in confornità alla norma 1 volta all'anno</t>
        </is>
      </c>
      <c r="Q10" s="3" t="inlineStr">
        <is>
          <t>Assicurazione Qualità</t>
        </is>
      </c>
      <c r="R10" s="2" t="inlineStr">
        <is>
          <t>4 ore / uomo</t>
        </is>
      </c>
      <c r="S10" s="2" t="inlineStr">
        <is>
          <t>entro il 31.12.19</t>
        </is>
      </c>
      <c r="T10" s="4" t="inlineStr">
        <is>
          <t>NUMERO DI RIESAMI ANNUALI DELLA DIREZIONE</t>
        </is>
      </c>
      <c r="U10" s="7" t="n">
        <v>1</v>
      </c>
      <c r="V10" s="30" t="n"/>
    </row>
    <row r="11" ht="90.59999999999999" customHeight="1">
      <c r="A11" s="2">
        <f>A10+1</f>
        <v/>
      </c>
      <c r="B11" s="2" t="inlineStr">
        <is>
          <t>ISO 14001</t>
        </is>
      </c>
      <c r="C11" s="2" t="inlineStr">
        <is>
          <t xml:space="preserve">Gestione delle risorse umane </t>
        </is>
      </c>
      <c r="D11" s="3" t="inlineStr">
        <is>
          <t>Gestire correttamente il piano di formazione del personale interno</t>
        </is>
      </c>
      <c r="E11" s="2" t="inlineStr">
        <is>
          <t>I</t>
        </is>
      </c>
      <c r="F11" s="3" t="inlineStr">
        <is>
          <t>Proprietà e Dipendenti</t>
        </is>
      </c>
      <c r="G11" s="3" t="inlineStr">
        <is>
          <t>mantenimento / accrescimento dei requisiti minimi sulle competenze</t>
        </is>
      </c>
      <c r="H11" s="3" t="inlineStr">
        <is>
          <t>assenza informazioni/ formazione utili per svolgere l'attività</t>
        </is>
      </c>
      <c r="I11" s="3" t="inlineStr">
        <is>
          <t xml:space="preserve">allargamento della base di competenza (più persone competenti sugli stessi argomenti) per migliorare l'intercambiabilità </t>
        </is>
      </c>
      <c r="J11" s="2" t="n">
        <v>3</v>
      </c>
      <c r="K11" s="2" t="n">
        <v>1</v>
      </c>
      <c r="L11" s="2">
        <f>J11*K11</f>
        <v/>
      </c>
      <c r="M11" s="14">
        <f>IF(L11&lt;=4,"Mitigare il rischio",(IF(AND(L11&gt;4,L11&lt;9),"Mitigare il Rischio","Evitare il Rischio")))</f>
        <v/>
      </c>
      <c r="N11" s="3" t="inlineStr">
        <is>
          <t>Mantenimento costante dell'attività formativa - fare incontri informativi regolari su aspetti tecnici organizzativi e sulla sicurezza.</t>
        </is>
      </c>
      <c r="O11" s="3" t="inlineStr">
        <is>
          <t xml:space="preserve">piano formativo, scheda del personale,
matrice delle competenze </t>
        </is>
      </c>
      <c r="P11" s="3" t="inlineStr">
        <is>
          <t>Mantenere elevata la competenza del personale sulla privacy</t>
        </is>
      </c>
      <c r="Q11" s="3" t="inlineStr">
        <is>
          <t>Assicurazione Qualità</t>
        </is>
      </c>
      <c r="R11" s="2" t="inlineStr">
        <is>
          <t>4 ore / uomo</t>
        </is>
      </c>
      <c r="S11" s="2" t="inlineStr">
        <is>
          <t>entro il 31.12.19</t>
        </is>
      </c>
      <c r="T11" s="4" t="inlineStr">
        <is>
          <t>NUMERO LAVORATORI FORMATI SULLA PRIVACY / NUMERO LAVORATORI CHE GESTISCONO DATI PERSONALI</t>
        </is>
      </c>
      <c r="U11" s="5" t="n">
        <v>1</v>
      </c>
      <c r="V11" s="30" t="n"/>
    </row>
    <row r="12" ht="90.59999999999999" customHeight="1">
      <c r="A12" s="2">
        <f>A11+1</f>
        <v/>
      </c>
      <c r="B12" s="2" t="inlineStr">
        <is>
          <t>ISO 14001</t>
        </is>
      </c>
      <c r="C12" s="2" t="inlineStr">
        <is>
          <t>Gestione delle risorse umane</t>
        </is>
      </c>
      <c r="D12" s="3" t="inlineStr">
        <is>
          <t>Possibile turnover personale interno</t>
        </is>
      </c>
      <c r="E12" s="2" t="inlineStr">
        <is>
          <t>I</t>
        </is>
      </c>
      <c r="F12" s="3" t="inlineStr">
        <is>
          <t>Proprietà e Dipendenti</t>
        </is>
      </c>
      <c r="G12" s="3" t="inlineStr">
        <is>
          <t xml:space="preserve">turnover del personale </t>
        </is>
      </c>
      <c r="H12" s="3" t="inlineStr">
        <is>
          <t>maggiori costi sulla formazione del personale</t>
        </is>
      </c>
      <c r="I12" s="3" t="inlineStr">
        <is>
          <t xml:space="preserve">Acquisizione di competenze nuove.
Buon approcio con i dipendenti </t>
        </is>
      </c>
      <c r="J12" s="2" t="n">
        <v>1</v>
      </c>
      <c r="K12" s="2" t="n">
        <v>2</v>
      </c>
      <c r="L12" s="2">
        <f>J12*K12</f>
        <v/>
      </c>
      <c r="M12" s="14">
        <f>IF(L12&lt;=4,"Mitigare il rischio",(IF(AND(L12&gt;4,L12&lt;9),"Mitigare il Rischio","Evitare il Rischio")))</f>
        <v/>
      </c>
      <c r="N12" s="3" t="inlineStr">
        <is>
          <t xml:space="preserve">Mantenere aggiornato il piano formativo interno
</t>
        </is>
      </c>
      <c r="O12" s="3" t="inlineStr">
        <is>
          <t>piano di formazione.</t>
        </is>
      </c>
      <c r="P12" s="3" t="inlineStr">
        <is>
          <t>Effettuare la formazione secondo i corsi programmati</t>
        </is>
      </c>
      <c r="Q12" s="3" t="inlineStr">
        <is>
          <t>Assicurazione Qualità</t>
        </is>
      </c>
      <c r="R12" s="2" t="inlineStr">
        <is>
          <t>4 ore / uomo</t>
        </is>
      </c>
      <c r="S12" s="2" t="inlineStr">
        <is>
          <t>entro il 31.12.19</t>
        </is>
      </c>
      <c r="T12" s="4" t="inlineStr">
        <is>
          <t>NUMERO CORSI PROGRAMMATI/NUMERO CORSI EFFETTUATI</t>
        </is>
      </c>
      <c r="U12" s="5" t="n">
        <v>1</v>
      </c>
      <c r="V12" s="31" t="n"/>
    </row>
    <row r="13" ht="106.8" customHeight="1">
      <c r="A13" s="2">
        <f>A12+1</f>
        <v/>
      </c>
      <c r="B13" s="2" t="inlineStr">
        <is>
          <t>ISO 14001</t>
        </is>
      </c>
      <c r="C13" s="2" t="inlineStr">
        <is>
          <t>Gestione delle risorse infrastrutturali</t>
        </is>
      </c>
      <c r="D13" s="3" t="inlineStr">
        <is>
          <t>Gestire in modo appropriato l' ambiente di lavoro</t>
        </is>
      </c>
      <c r="E13" s="2" t="inlineStr">
        <is>
          <t>I/E</t>
        </is>
      </c>
      <c r="F13" s="3" t="inlineStr">
        <is>
          <t>Dipendenti e Clienti</t>
        </is>
      </c>
      <c r="G13" s="3" t="inlineStr">
        <is>
          <t>Capacità di valutare i fattori di rischio: quali ambiente di lavoro, pulizia, competenza degli operatori sugli aspetti sicurezza, che possono 
influire sulla salute del lavoratore.</t>
        </is>
      </c>
      <c r="H13" s="3" t="inlineStr">
        <is>
          <t xml:space="preserve">personale non adeguatamente formato sugli aspetti sicurezza; mancata documentazione neccessaria (quale:DUVRI; DVR; ecc..) </t>
        </is>
      </c>
      <c r="I13" s="3" t="inlineStr">
        <is>
          <t>conformità legislativa</t>
        </is>
      </c>
      <c r="J13" s="2" t="n">
        <v>2</v>
      </c>
      <c r="K13" s="2" t="n">
        <v>2</v>
      </c>
      <c r="L13" s="2">
        <f>J13*K13</f>
        <v/>
      </c>
      <c r="M13" s="14">
        <f>IF(L13&lt;=4,"Mitigare il rischio",(IF(AND(L13&gt;4,L13&lt;9),"Mitigare il Rischio","Evitare il Rischio")))</f>
        <v/>
      </c>
      <c r="N13" s="3" t="inlineStr">
        <is>
          <t>Aggiornamento costante del DVR e di tutti i documanti relativi alla sicurezza sui luoghi di lavoro</t>
        </is>
      </c>
      <c r="O13" s="3" t="inlineStr">
        <is>
          <t xml:space="preserve">DVR
DUVRI;
</t>
        </is>
      </c>
      <c r="P13" s="3" t="inlineStr">
        <is>
          <t>Aggiornamento del DVR secondo le scadenze dei rischi specifici</t>
        </is>
      </c>
      <c r="Q13" s="3" t="inlineStr">
        <is>
          <t>RSPP</t>
        </is>
      </c>
      <c r="R13" s="2" t="inlineStr">
        <is>
          <t>Euro 800</t>
        </is>
      </c>
      <c r="S13" s="2" t="inlineStr">
        <is>
          <t>entro il 31.12.19</t>
        </is>
      </c>
      <c r="T13" s="4" t="inlineStr">
        <is>
          <t>NUMERO REVISIONI ANNUALI DEI DOCUMENTI DELLA SICUREZZA ESEGUITE / NUMERO REVISIONI ANNUALI DEI DOCUMENTI DELLA SICUREZZA NECESSARIE</t>
        </is>
      </c>
      <c r="U13" s="5" t="n">
        <v>1</v>
      </c>
      <c r="V13" s="31" t="n"/>
    </row>
    <row r="14" ht="90.59999999999999" customHeight="1">
      <c r="A14" s="2">
        <f>A13+1</f>
        <v/>
      </c>
      <c r="B14" s="2" t="inlineStr">
        <is>
          <t>ISO 14001</t>
        </is>
      </c>
      <c r="C14" s="2" t="inlineStr">
        <is>
          <t>Gestione delle risorse infrastrutturali</t>
        </is>
      </c>
      <c r="D14" s="3" t="inlineStr">
        <is>
          <t>Gestire in modo appropriato gli Impianti aziendali</t>
        </is>
      </c>
      <c r="E14" s="2" t="inlineStr">
        <is>
          <t>I/E</t>
        </is>
      </c>
      <c r="F14" s="3" t="inlineStr">
        <is>
          <t>dipendenti</t>
        </is>
      </c>
      <c r="G14" s="3" t="inlineStr">
        <is>
          <t>mantenere efficenti e controllati gli impianti</t>
        </is>
      </c>
      <c r="H14" s="3" t="inlineStr">
        <is>
          <t>utilizzo impianti non tenuti sotto controllo dal punto di vista della sicurezza</t>
        </is>
      </c>
      <c r="I14" s="3" t="inlineStr">
        <is>
          <t>Corretta individuazione degli impianti da tenere sotto controllo dal punto di vista dei controlli periodici</t>
        </is>
      </c>
      <c r="J14" s="2" t="n">
        <v>1</v>
      </c>
      <c r="K14" s="2" t="n">
        <v>2</v>
      </c>
      <c r="L14" s="2">
        <f>J14*K14</f>
        <v/>
      </c>
      <c r="M14" s="14">
        <f>IF(L14&lt;=4,"Mitigare il rischio",(IF(AND(L14&gt;4,L14&lt;9),"Mitigare il Rischio","Evitare il Rischio")))</f>
        <v/>
      </c>
      <c r="N14" s="3" t="inlineStr">
        <is>
          <t>Censimento di tutti gli impianti che devono essere oggetto di controlli nel rispetto della legislazione vigente</t>
        </is>
      </c>
      <c r="O14" s="3" t="inlineStr">
        <is>
          <t>scheda di manutanzione degli impianti e rapporto di avvenuta manutenzione</t>
        </is>
      </c>
      <c r="P14" s="3" t="inlineStr">
        <is>
          <t>Effettuazione del controllo degli impianti oggetto di manutenzione periodica in scadenza</t>
        </is>
      </c>
      <c r="Q14" s="3" t="inlineStr">
        <is>
          <t>Assicurazione Qualità</t>
        </is>
      </c>
      <c r="R14" s="2" t="inlineStr">
        <is>
          <t>4 ore / uomo</t>
        </is>
      </c>
      <c r="S14" s="2" t="inlineStr">
        <is>
          <t>entro il 31.12.19</t>
        </is>
      </c>
      <c r="T14" s="4" t="inlineStr">
        <is>
          <t>NUMERO DI IMPIANTI CONTROLLATI/NUMERO IMPIANTI DA SOTTOPORRE A CONTROLLO</t>
        </is>
      </c>
      <c r="U14" s="5" t="n">
        <v>1</v>
      </c>
      <c r="V14" s="31" t="n"/>
    </row>
    <row r="15" ht="94.8" customHeight="1">
      <c r="A15" s="2">
        <f>A14+1</f>
        <v/>
      </c>
      <c r="B15" s="2" t="inlineStr">
        <is>
          <t>ISO 14001</t>
        </is>
      </c>
      <c r="C15" s="2" t="inlineStr">
        <is>
          <t>Gestione delle risorse infrastrutturali</t>
        </is>
      </c>
      <c r="D15" s="3" t="inlineStr">
        <is>
          <t>Gestire in modo appropriato i Mezzi e Attrezzature aziendali</t>
        </is>
      </c>
      <c r="E15" s="2" t="inlineStr">
        <is>
          <t>I/E</t>
        </is>
      </c>
      <c r="F15" s="3" t="inlineStr">
        <is>
          <t>dipendenti</t>
        </is>
      </c>
      <c r="G15" s="3" t="inlineStr">
        <is>
          <t>mantenere efficenti e controllati i mezzi e le attrezzature</t>
        </is>
      </c>
      <c r="H15" s="3" t="inlineStr">
        <is>
          <t>utilizzo mezzi ed attrezzature non tenuti sotto controllo dal punto di vista della sicurezza</t>
        </is>
      </c>
      <c r="I15" s="3" t="inlineStr">
        <is>
          <t>Corretta individuazione dei mezzi ed attrezzature da tenere sotto controllo dal punto di vista dei controlli periodici</t>
        </is>
      </c>
      <c r="J15" s="2" t="n">
        <v>2</v>
      </c>
      <c r="K15" s="2" t="n">
        <v>2</v>
      </c>
      <c r="L15" s="2">
        <f>J15*K15</f>
        <v/>
      </c>
      <c r="M15" s="14">
        <f>IF(L15&lt;=4,"Mitigare il rischio",(IF(AND(L15&gt;4,L15&lt;9),"Mitigare il Rischio","Evitare il Rischio")))</f>
        <v/>
      </c>
      <c r="N15" s="3" t="inlineStr">
        <is>
          <t>Censimento di tutti mezzi ed attrezzature che devono essere oggetto di controlli nel rispetto della legislazione vigente</t>
        </is>
      </c>
      <c r="O15" s="3" t="inlineStr">
        <is>
          <t>scheda di manutanzione dei mezzi ed attrezzature e rapporto di avvenuta manutenzione</t>
        </is>
      </c>
      <c r="P15" s="3" t="inlineStr">
        <is>
          <t>Effettuazione del controllo dei mezzie e delle attrezzature oggetto di manutenzione periodica in scadenza</t>
        </is>
      </c>
      <c r="Q15" s="3" t="inlineStr">
        <is>
          <t>Assicurazione Qualità</t>
        </is>
      </c>
      <c r="R15" s="2" t="inlineStr">
        <is>
          <t>4 ore / uomo</t>
        </is>
      </c>
      <c r="S15" s="2" t="inlineStr">
        <is>
          <t>entro il 31.12.19</t>
        </is>
      </c>
      <c r="T15" s="4" t="inlineStr">
        <is>
          <t>NUMERO DI MEZZI ED ATTREZZATURE CONTROLLATI/NUMERO MEZZI ED ATTREZZATURE DA SOTTOPORRE A CONTROLLO</t>
        </is>
      </c>
      <c r="U15" s="5" t="n">
        <v>1</v>
      </c>
      <c r="V15" s="31" t="n"/>
    </row>
    <row r="16" ht="90.59999999999999" customHeight="1">
      <c r="A16" s="2">
        <f>A15+1</f>
        <v/>
      </c>
      <c r="B16" s="2" t="inlineStr">
        <is>
          <t>ISO 14001</t>
        </is>
      </c>
      <c r="C16" s="2" t="inlineStr">
        <is>
          <t>Approvvigionamento</t>
        </is>
      </c>
      <c r="D16" s="3" t="inlineStr">
        <is>
          <t>controllo dei fornitori di prodotti e servizi</t>
        </is>
      </c>
      <c r="E16" s="2" t="inlineStr">
        <is>
          <t>I/E</t>
        </is>
      </c>
      <c r="F16" s="3" t="inlineStr">
        <is>
          <t>proprietà e fornitori</t>
        </is>
      </c>
      <c r="G16" s="3" t="inlineStr">
        <is>
          <t>mantenere qualificati i fornitori di prodotti e servizi almeno quelli ritenuti critici.</t>
        </is>
      </c>
      <c r="H16" s="3" t="inlineStr">
        <is>
          <t>ricevere un prodotto e/o servizio non conforme
rispondere su un'attività svolta da personale non adeguatamente formato</t>
        </is>
      </c>
      <c r="I16" s="3" t="inlineStr">
        <is>
          <t>fidelizzazione dei fornitori storici</t>
        </is>
      </c>
      <c r="J16" s="2" t="n">
        <v>1</v>
      </c>
      <c r="K16" s="2" t="n">
        <v>4</v>
      </c>
      <c r="L16" s="2">
        <f>J16*K16</f>
        <v/>
      </c>
      <c r="M16" s="14">
        <f>IF(L16&lt;=4,"Mitigare il rischio",(IF(AND(L16&gt;4,L16&lt;9),"Mitigare il Rischio","Evitare il Rischio")))</f>
        <v/>
      </c>
      <c r="N16" s="3" t="inlineStr">
        <is>
          <t>effettuare costante monitoraggio sulla qualifica del fornitore.
effettuare monitoraggi attraverso acquisti, operation e direzione</t>
        </is>
      </c>
      <c r="O16" s="3" t="inlineStr">
        <is>
          <t>elenco fornitori qualificati, valutazione delle performance dei fornitori</t>
        </is>
      </c>
      <c r="P16" s="3" t="inlineStr">
        <is>
          <t>Aggiornare il pannello dei fornitori qualificati che impattano sulla qualità dei prodotti</t>
        </is>
      </c>
      <c r="Q16" s="3" t="inlineStr">
        <is>
          <t>Assicurazione Qualità</t>
        </is>
      </c>
      <c r="R16" s="2" t="inlineStr">
        <is>
          <t>15 ore / uomo</t>
        </is>
      </c>
      <c r="S16" s="2" t="inlineStr">
        <is>
          <t>entro il 31.12.19</t>
        </is>
      </c>
      <c r="T16" s="4" t="inlineStr">
        <is>
          <t>NUMERO FORNITORI QUALIFICATI/NUMERO TOTALE DEI FORNITORI</t>
        </is>
      </c>
      <c r="U16" s="5" t="n">
        <v>1</v>
      </c>
      <c r="V16" s="31" t="n"/>
    </row>
    <row r="17" ht="103.8" customHeight="1">
      <c r="A17" s="2">
        <f>A16+1</f>
        <v/>
      </c>
      <c r="B17" s="2" t="inlineStr">
        <is>
          <t>ISO 14001</t>
        </is>
      </c>
      <c r="C17" s="2" t="inlineStr">
        <is>
          <t>Gestione degli audit</t>
        </is>
      </c>
      <c r="D17" s="3" t="inlineStr">
        <is>
          <t>Garanzia di effettuazione degli Audit periodici nel rispetto delle prescrizioni della norma</t>
        </is>
      </c>
      <c r="E17" s="2" t="inlineStr">
        <is>
          <t>I</t>
        </is>
      </c>
      <c r="F17" s="3" t="inlineStr">
        <is>
          <t>direzione</t>
        </is>
      </c>
      <c r="G17" s="3" t="inlineStr">
        <is>
          <t>verificare costantemente i processi interni ed esterni</t>
        </is>
      </c>
      <c r="H17" s="3" t="inlineStr">
        <is>
          <t>Non riuscire ad effettuare audit periodici efficaci</t>
        </is>
      </c>
      <c r="I17" s="3" t="inlineStr">
        <is>
          <t>Rivedere la programmazione degli audit per garantire maggiore controllo al sistema di gestione</t>
        </is>
      </c>
      <c r="J17" s="2" t="n">
        <v>2</v>
      </c>
      <c r="K17" s="2" t="n">
        <v>2</v>
      </c>
      <c r="L17" s="2">
        <f>J17*K17</f>
        <v/>
      </c>
      <c r="M17" s="14">
        <f>IF(L17&lt;=4,"Mitigare il rischio",(IF(AND(L17&gt;4,L17&lt;9),"Mitigare il Rischio","Evitare il Rischio")))</f>
        <v/>
      </c>
      <c r="N17" s="3" t="inlineStr">
        <is>
          <t>Programmazione degli audit con assegnazione degli stessi ad auditor previamente qualificati</t>
        </is>
      </c>
      <c r="O17" s="3" t="inlineStr">
        <is>
          <t>Programma annuale audit, Piano di audit, Rapporto di audit, Qualifica auditor</t>
        </is>
      </c>
      <c r="P17" s="3" t="inlineStr">
        <is>
          <t>Realizzare 1 audit interno</t>
        </is>
      </c>
      <c r="Q17" s="3" t="inlineStr">
        <is>
          <t>Assicurazione Qualità</t>
        </is>
      </c>
      <c r="R17" s="2" t="inlineStr">
        <is>
          <t>Euro 400</t>
        </is>
      </c>
      <c r="S17" s="2" t="inlineStr">
        <is>
          <t>entro il 31.12.19</t>
        </is>
      </c>
      <c r="T17" s="4" t="inlineStr">
        <is>
          <t>NUMERO AUDIT ESEGUITI/NUMERO AUDIT PIANIFICATI</t>
        </is>
      </c>
      <c r="U17" s="5" t="n">
        <v>1</v>
      </c>
      <c r="V17" s="31" t="n"/>
    </row>
    <row r="18" ht="103.8" customHeight="1">
      <c r="A18" s="2">
        <f>A17+1</f>
        <v/>
      </c>
      <c r="B18" s="2" t="inlineStr">
        <is>
          <t>ISO 14001</t>
        </is>
      </c>
      <c r="C18" s="2" t="inlineStr">
        <is>
          <t>Pianificazione e risposta alle emergenze</t>
        </is>
      </c>
      <c r="D18" s="3" t="inlineStr">
        <is>
          <t>Sicurezza delle infrastrutture
Pianificazione di risposta ad Eventi naturali (catastrofi 
naturali, terremoti, etc)</t>
        </is>
      </c>
      <c r="E18" s="2" t="inlineStr">
        <is>
          <t>E</t>
        </is>
      </c>
      <c r="F18" s="3" t="inlineStr">
        <is>
          <t>clienti / fornitori</t>
        </is>
      </c>
      <c r="G18" s="3" t="inlineStr">
        <is>
          <t>Capacità di gestire i fattori di rischio infrastrutturale in relazione a catastrofi naturali.</t>
        </is>
      </c>
      <c r="H18" s="3" t="inlineStr">
        <is>
          <t xml:space="preserve">costi elevati per il ripristino delle attività operative
danni ai materiali </t>
        </is>
      </c>
      <c r="I18" s="3" t="inlineStr">
        <is>
          <t>infrastrutture sicure</t>
        </is>
      </c>
      <c r="J18" s="2" t="n">
        <v>3</v>
      </c>
      <c r="K18" s="2" t="n">
        <v>4</v>
      </c>
      <c r="L18" s="2">
        <f>J18*K18</f>
        <v/>
      </c>
      <c r="M18" s="14">
        <f>IF(L18&lt;=4,"Mitigare il rischio",(IF(AND(L18&gt;4,L18&lt;9),"Mitigare il Rischio","Evitare il Rischio")))</f>
        <v/>
      </c>
      <c r="N18" s="3" t="inlineStr">
        <is>
          <t>prevedere un piano di emergenza per spostamento delle attività operative e pianificare le simulazioni</t>
        </is>
      </c>
      <c r="O18" s="3" t="inlineStr">
        <is>
          <t>Piano di Business Continuity &amp; Recovery Disaster</t>
        </is>
      </c>
      <c r="P18" s="3" t="inlineStr">
        <is>
          <t>Simulare le situazioni emergenziali che possono interessare l'azienda</t>
        </is>
      </c>
      <c r="Q18" s="3" t="inlineStr">
        <is>
          <t>Amministratore Unico</t>
        </is>
      </c>
      <c r="R18" s="2" t="inlineStr">
        <is>
          <t>4 ore / uomo</t>
        </is>
      </c>
      <c r="S18" s="2" t="inlineStr">
        <is>
          <t>entro il 31.12.19</t>
        </is>
      </c>
      <c r="T18" s="4" t="inlineStr">
        <is>
          <t>NUMERO SIMULAZIONI ESEGUITE/NUMERO SIMULAZIONI PREVISTE</t>
        </is>
      </c>
      <c r="U18" s="5" t="n">
        <v>1</v>
      </c>
      <c r="V18" s="31" t="n"/>
    </row>
    <row r="19" ht="66" customHeight="1">
      <c r="A19" s="2">
        <f>A18+1</f>
        <v/>
      </c>
      <c r="B19" s="2" t="inlineStr">
        <is>
          <t>ISO 14001</t>
        </is>
      </c>
      <c r="C19" s="2" t="inlineStr">
        <is>
          <t>Gestione dei consumi energetici</t>
        </is>
      </c>
      <c r="D19" s="3" t="inlineStr">
        <is>
          <t>Minimizzazione dei consumi energetici</t>
        </is>
      </c>
      <c r="E19" s="2" t="inlineStr">
        <is>
          <t>I</t>
        </is>
      </c>
      <c r="F19" s="3" t="inlineStr">
        <is>
          <t>Clienti/fornitori/dipendenti</t>
        </is>
      </c>
      <c r="G19" s="3" t="inlineStr">
        <is>
          <t>Capacità di gestire i fattori di utilizzo di risorse (Energia, Carburanti, ecc)</t>
        </is>
      </c>
      <c r="H19" s="3" t="inlineStr">
        <is>
          <t>Maggiori costi derivanti dal mancato monitoraggio dei fattori</t>
        </is>
      </c>
      <c r="I19" s="3" t="inlineStr">
        <is>
          <t>Minimizzazione dei costi operativi aziendali</t>
        </is>
      </c>
      <c r="J19" s="2" t="n">
        <v>3</v>
      </c>
      <c r="K19" s="2" t="n">
        <v>4</v>
      </c>
      <c r="L19" s="2">
        <f>J19*K19</f>
        <v/>
      </c>
      <c r="M19" s="14">
        <f>IF(L19&lt;=4,"Mitigare il rischio",(IF(AND(L19&gt;4,L19&lt;9),"Mitigare il Rischio","Evitare il Rischio")))</f>
        <v/>
      </c>
      <c r="N19" s="3" t="inlineStr">
        <is>
          <t>prevedere un piano di monitoraggio dei consumi che si ritiene opportuno monitorare</t>
        </is>
      </c>
      <c r="O19" s="3" t="inlineStr">
        <is>
          <t>Monitoraggio consumi ambientali</t>
        </is>
      </c>
      <c r="P19" s="3" t="inlineStr">
        <is>
          <t>Minimizzare i consumi energetici</t>
        </is>
      </c>
      <c r="Q19" s="3" t="inlineStr">
        <is>
          <t>Amministratore Unico</t>
        </is>
      </c>
      <c r="R19" s="2" t="inlineStr">
        <is>
          <t>4 ore / uomo</t>
        </is>
      </c>
      <c r="S19" s="2" t="inlineStr">
        <is>
          <t>entro il 31.12.19</t>
        </is>
      </c>
      <c r="T19" s="4" t="inlineStr">
        <is>
          <t>CONSUMO ENERGETICO CONSUMO DI CARBURANTI</t>
        </is>
      </c>
      <c r="U19" s="32" t="inlineStr">
        <is>
          <t>-3% SU BASE ANNUA</t>
        </is>
      </c>
      <c r="V19" s="31" t="n"/>
    </row>
    <row r="20" ht="51" customHeight="1">
      <c r="A20" s="2">
        <f>A19+1</f>
        <v/>
      </c>
      <c r="B20" s="2" t="inlineStr">
        <is>
          <t>ISO 14001</t>
        </is>
      </c>
      <c r="C20" s="2" t="inlineStr">
        <is>
          <t>Gestione dei Rifiuti</t>
        </is>
      </c>
      <c r="D20" s="3" t="inlineStr">
        <is>
          <t>Garantire i corretti adempimenti a riguardo la gestione dei rifiuti</t>
        </is>
      </c>
      <c r="E20" s="2" t="inlineStr">
        <is>
          <t>I</t>
        </is>
      </c>
      <c r="F20" s="3" t="inlineStr">
        <is>
          <t>Clienti/fornitori/dipendenti</t>
        </is>
      </c>
      <c r="G20" s="3" t="inlineStr">
        <is>
          <t>Gestione corretta dei CER prodotti dall'organizzazione</t>
        </is>
      </c>
      <c r="H20" s="3" t="inlineStr">
        <is>
          <t>Errata gestione dei rifiuti prodotti</t>
        </is>
      </c>
      <c r="I20" s="3" t="inlineStr">
        <is>
          <t>Razionalizzare la gestione dei rifiuti aziendale</t>
        </is>
      </c>
      <c r="J20" s="2" t="n">
        <v>4</v>
      </c>
      <c r="K20" s="2" t="n">
        <v>4</v>
      </c>
      <c r="L20" s="2">
        <f>J20*K20</f>
        <v/>
      </c>
      <c r="M20" s="14">
        <f>IF(L20&lt;=4,"Mitigare il rischio",(IF(AND(L20&gt;4,L20&lt;9),"Mitigare il Rischio","Evitare il Rischio")))</f>
        <v/>
      </c>
      <c r="N20" s="3" t="inlineStr">
        <is>
          <t>prevedere un censimento preciso di tutti i possibili rifiuti producibili dall'azienda</t>
        </is>
      </c>
      <c r="O20" s="3" t="inlineStr">
        <is>
          <t>Elenco CER prodotti dall'azienda</t>
        </is>
      </c>
      <c r="P20" s="3" t="inlineStr">
        <is>
          <t>Precisione nella gestione dei rifiuti</t>
        </is>
      </c>
      <c r="Q20" s="3" t="inlineStr">
        <is>
          <t>Amministratore Unico</t>
        </is>
      </c>
      <c r="R20" s="2" t="inlineStr">
        <is>
          <t>4 ore / uomo</t>
        </is>
      </c>
      <c r="S20" s="2" t="inlineStr">
        <is>
          <t>entro il 31.12.19</t>
        </is>
      </c>
      <c r="T20" s="4" t="inlineStr">
        <is>
          <t>FORMULARI CORRETTI/FORMULARI EMESSI</t>
        </is>
      </c>
      <c r="U20" s="5" t="n">
        <v>1</v>
      </c>
      <c r="V20" s="31" t="n"/>
    </row>
    <row r="21" ht="62.4" customHeight="1">
      <c r="A21" s="2">
        <f>A20+1</f>
        <v/>
      </c>
      <c r="B21" s="2" t="inlineStr">
        <is>
          <t>ISO 14001</t>
        </is>
      </c>
      <c r="C21" s="2" t="inlineStr">
        <is>
          <t>Gestione delle autorizzazioni di Trasporto rifiuti</t>
        </is>
      </c>
      <c r="D21" s="3" t="inlineStr">
        <is>
          <t>Fare in modo che i rifiuti possano essere trasportati dai soli mezzi autorizzati</t>
        </is>
      </c>
      <c r="E21" s="2" t="inlineStr">
        <is>
          <t>I</t>
        </is>
      </c>
      <c r="F21" s="3" t="inlineStr">
        <is>
          <t>Clienti/dipendenti</t>
        </is>
      </c>
      <c r="G21" s="3" t="inlineStr">
        <is>
          <t>Gestione corretta dell'abbinamento CER / Mezzi aziendali</t>
        </is>
      </c>
      <c r="H21" s="3" t="inlineStr">
        <is>
          <t>Errata gestione del trasporto dei rifiuti</t>
        </is>
      </c>
      <c r="I21" s="3" t="inlineStr">
        <is>
          <t>Migliore gestione dei mezzi in relazione al trasporto dei rifiuti</t>
        </is>
      </c>
      <c r="J21" s="2" t="n">
        <v>4</v>
      </c>
      <c r="K21" s="2" t="n">
        <v>4</v>
      </c>
      <c r="L21" s="2">
        <f>J21*K21</f>
        <v/>
      </c>
      <c r="M21" s="14">
        <f>IF(L21&lt;=4,"Mitigare il rischio",(IF(AND(L21&gt;4,L21&lt;9),"Mitigare il Rischio","Evitare il Rischio")))</f>
        <v/>
      </c>
      <c r="N21" s="3" t="inlineStr">
        <is>
          <t>prevedere lista cer per singolo mezzo da mettere sui mezzi aziendali</t>
        </is>
      </c>
      <c r="O21" s="3" t="inlineStr">
        <is>
          <t>Elenco mezzi /CER abbinati</t>
        </is>
      </c>
      <c r="P21" s="3" t="inlineStr">
        <is>
          <t>Gestione corretta del trasporto dei rifiuti</t>
        </is>
      </c>
      <c r="Q21" s="3" t="inlineStr">
        <is>
          <t>Amministratore Unico</t>
        </is>
      </c>
      <c r="R21" s="2" t="inlineStr">
        <is>
          <t>4 ore / uomo</t>
        </is>
      </c>
      <c r="S21" s="2" t="inlineStr">
        <is>
          <t>entro il 31.12.19</t>
        </is>
      </c>
      <c r="T21" s="4" t="inlineStr">
        <is>
          <t>TRASPORTI CORRETTI/TRASPORTI EFFETTUATI</t>
        </is>
      </c>
      <c r="U21" s="5" t="n">
        <v>1</v>
      </c>
      <c r="V21" s="31" t="n"/>
    </row>
    <row r="22" ht="69" customHeight="1">
      <c r="A22" s="2">
        <f>A21+1</f>
        <v/>
      </c>
      <c r="B22" s="2" t="inlineStr">
        <is>
          <t>ISO 14001</t>
        </is>
      </c>
      <c r="C22" s="2" t="inlineStr">
        <is>
          <t>Gestione degli impatti climatici</t>
        </is>
      </c>
      <c r="D22" s="3" t="inlineStr">
        <is>
          <t>Utilizzo di mezzi e attrezzature alimentati da combustibili fossili</t>
        </is>
      </c>
      <c r="E22" s="30" t="inlineStr">
        <is>
          <t>I/E</t>
        </is>
      </c>
      <c r="F22" s="41" t="inlineStr">
        <is>
          <t>clienti / fornitori / dipendenti</t>
        </is>
      </c>
      <c r="G22" s="3" t="inlineStr">
        <is>
          <t>Nello svecchiamento del parco mezzi e attrezzature considerare di acquistare o mezzi usati green o mezzi nuovi green</t>
        </is>
      </c>
      <c r="H22" s="3" t="inlineStr">
        <is>
          <t>Costi elevati di acquisto di mezzi green</t>
        </is>
      </c>
      <c r="I22" s="3" t="inlineStr">
        <is>
          <t>Verificare se sul mercato esistono mezzi green usati</t>
        </is>
      </c>
      <c r="J22" s="2" t="n">
        <v>3</v>
      </c>
      <c r="K22" s="2" t="n">
        <v>2</v>
      </c>
      <c r="L22" s="2">
        <f>J22*K22</f>
        <v/>
      </c>
      <c r="M22" s="14">
        <f>IF(L22&lt;=4,"Mitigare il rischio",(IF(AND(L22&gt;4,L22&lt;9),"Mitigare il Rischio","Evitare il Rischio")))</f>
        <v/>
      </c>
      <c r="N22" s="3" t="inlineStr">
        <is>
          <t>Redazione del Piano di sostituzione dei mezzi e macchinari in ottica green</t>
        </is>
      </c>
      <c r="O22" s="3" t="inlineStr">
        <is>
          <t>Piano di sostituzione dei mezzi e macchinari</t>
        </is>
      </c>
      <c r="P22" s="3" t="inlineStr">
        <is>
          <t>Almeno il 20% dei mezzi deve essere green</t>
        </is>
      </c>
      <c r="Q22" s="3" t="inlineStr">
        <is>
          <t>Ufficio Acquisti</t>
        </is>
      </c>
      <c r="R22" s="2" t="inlineStr">
        <is>
          <t>4 ore / uomo</t>
        </is>
      </c>
      <c r="S22" s="2" t="inlineStr">
        <is>
          <t>entro il 31.12.24</t>
        </is>
      </c>
      <c r="T22" s="4" t="inlineStr">
        <is>
          <t>NUMERO MEZZI GREEN/NUMERO MEZZI TOTALI</t>
        </is>
      </c>
      <c r="U22" s="5" t="n">
        <v>0.2</v>
      </c>
      <c r="V22" s="31" t="n"/>
    </row>
    <row r="23" ht="96.59999999999999" customHeight="1">
      <c r="A23" s="2">
        <f>A22+1</f>
        <v/>
      </c>
      <c r="B23" s="2" t="inlineStr">
        <is>
          <t>ISO 14001</t>
        </is>
      </c>
      <c r="C23" s="2" t="inlineStr">
        <is>
          <t>Gestione degli impatti climatici</t>
        </is>
      </c>
      <c r="D23" s="3" t="inlineStr">
        <is>
          <t>Sprechi nell'utilizzo delle fonti energetiche</t>
        </is>
      </c>
      <c r="E23" s="30" t="inlineStr">
        <is>
          <t>I</t>
        </is>
      </c>
      <c r="F23" s="1" t="inlineStr">
        <is>
          <t>dipendenti</t>
        </is>
      </c>
      <c r="G23" s="3" t="inlineStr">
        <is>
          <t>Sensibilizzare tutti i lavoratori sulla necessità di ridurre consumi e relativi stati emissivi nella conduzione degli edifici e dei mezzi e attrezzature aziendali</t>
        </is>
      </c>
      <c r="H23" s="3" t="inlineStr">
        <is>
          <t>Riduzione della produttività</t>
        </is>
      </c>
      <c r="I23" s="3" t="inlineStr">
        <is>
          <t>Minori costi e minori emissioni conseguenti</t>
        </is>
      </c>
      <c r="J23" s="2" t="n">
        <v>3</v>
      </c>
      <c r="K23" s="2" t="n">
        <v>2</v>
      </c>
      <c r="L23" s="2">
        <f>J23*K23</f>
        <v/>
      </c>
      <c r="M23" s="14">
        <f>IF(L23&lt;=4,"Mitigare il rischio",(IF(AND(L23&gt;4,L23&lt;9),"Mitigare il Rischio","Evitare il Rischio")))</f>
        <v/>
      </c>
      <c r="N23" s="3" t="inlineStr">
        <is>
          <t>Predisposizione del Piano di sensibilizzazione del personale aziendale dell'impatto degli sprechi sui cambiamenti climatici.</t>
        </is>
      </c>
      <c r="O23" s="3" t="inlineStr">
        <is>
          <t>Piano di sensibilizzazione del personale aziendale</t>
        </is>
      </c>
      <c r="P23" s="3" t="inlineStr">
        <is>
          <t>Tutto il personale aziendale formato entro l'anno</t>
        </is>
      </c>
      <c r="Q23" s="3" t="inlineStr">
        <is>
          <t>Amministratore Unico</t>
        </is>
      </c>
      <c r="R23" s="2" t="inlineStr">
        <is>
          <t>4 ore / uomo</t>
        </is>
      </c>
      <c r="S23" s="2" t="inlineStr">
        <is>
          <t>entro il 31.12.24</t>
        </is>
      </c>
      <c r="T23" s="4" t="inlineStr">
        <is>
          <t>NUMERO PERSONALE FORMATO / NUMERO PERSONALE TOTALE</t>
        </is>
      </c>
      <c r="U23" s="5" t="n">
        <v>1</v>
      </c>
      <c r="V23" s="31" t="n"/>
    </row>
    <row r="24" ht="82.8" customHeight="1">
      <c r="A24" s="2">
        <f>A23+1</f>
        <v/>
      </c>
      <c r="B24" s="2" t="inlineStr">
        <is>
          <t>ISO 14001</t>
        </is>
      </c>
      <c r="C24" s="2" t="inlineStr">
        <is>
          <t>Gestione degli impatti climatici</t>
        </is>
      </c>
      <c r="D24" s="3" t="inlineStr">
        <is>
          <t>Ottimizzazione delle logistiche di intervento presso i clienti per limitare le emissioni dei mezzi</t>
        </is>
      </c>
      <c r="E24" s="30" t="inlineStr">
        <is>
          <t>I/E</t>
        </is>
      </c>
      <c r="F24" s="3" t="inlineStr">
        <is>
          <t>clienti / fornitori / dipendenti</t>
        </is>
      </c>
      <c r="G24" s="3" t="inlineStr">
        <is>
          <t>Pianificare le logistiche di intervento in modo da minimizzare i percorsi</t>
        </is>
      </c>
      <c r="H24" s="3" t="inlineStr">
        <is>
          <t>Possibilità di invio al cliente di lavoratori con skill matrix inidonea per l'attività se si usa esclusivamente la logica della prossimità</t>
        </is>
      </c>
      <c r="I24" s="3" t="inlineStr">
        <is>
          <t>Acquistare un programma di instradamento che tenga in conto anche della idoneità dei lavoratori nell'effettuare attività specifiche presso i clienti</t>
        </is>
      </c>
      <c r="J24" s="2" t="n">
        <v>2</v>
      </c>
      <c r="K24" s="2" t="n">
        <v>2</v>
      </c>
      <c r="L24" s="2">
        <f>J24*K24</f>
        <v/>
      </c>
      <c r="M24" s="14">
        <f>IF(L24&lt;=4,"Mitigare il rischio",(IF(AND(L24&gt;4,L24&lt;9),"Mitigare il Rischio","Evitare il Rischio")))</f>
        <v/>
      </c>
      <c r="N24" s="3" t="inlineStr">
        <is>
          <t>Redazione Piano Logistico di esecuzione dei servizi di dettaglio (giorno/settimana)</t>
        </is>
      </c>
      <c r="O24" s="3" t="inlineStr">
        <is>
          <t>Piano Logistico di esecuzione dei servizi di dettaglio (giorno/settimana)</t>
        </is>
      </c>
      <c r="P24" s="3" t="inlineStr">
        <is>
          <t>Riduzione dei tragitti del 10%</t>
        </is>
      </c>
      <c r="Q24" s="3" t="inlineStr">
        <is>
          <t>Responsabile dei servizi</t>
        </is>
      </c>
      <c r="R24" s="2" t="inlineStr">
        <is>
          <t>4 ore / uomo</t>
        </is>
      </c>
      <c r="S24" s="2" t="inlineStr">
        <is>
          <t>entro il 31.12.24</t>
        </is>
      </c>
      <c r="T24" s="4" t="inlineStr">
        <is>
          <t>RIDUZIONE DEI TRAGITTI SU BASE ANNUALE</t>
        </is>
      </c>
      <c r="U24" s="5" t="n">
        <v>0.1</v>
      </c>
      <c r="V24" s="31" t="n"/>
    </row>
    <row r="25" ht="82.8" customHeight="1">
      <c r="A25" s="2">
        <f>A24+1</f>
        <v/>
      </c>
      <c r="B25" s="2" t="inlineStr">
        <is>
          <t>ISO 14001</t>
        </is>
      </c>
      <c r="C25" s="2" t="inlineStr">
        <is>
          <t>Gestione degli impatti climatici</t>
        </is>
      </c>
      <c r="D25" s="3" t="inlineStr">
        <is>
          <t>Acquisto di vettori energetici da fonti rinnovabili</t>
        </is>
      </c>
      <c r="E25" s="30" t="inlineStr">
        <is>
          <t>I</t>
        </is>
      </c>
      <c r="F25" s="3" t="inlineStr">
        <is>
          <t>fornitori</t>
        </is>
      </c>
      <c r="G25" s="3" t="inlineStr">
        <is>
          <t>Verificare l'approvvigionamento dei vettori energetici aziendali andando a verificare quelli che provengono da fonti rinnovabili</t>
        </is>
      </c>
      <c r="H25" s="3" t="inlineStr">
        <is>
          <t>Costi elevati di acquisto di vettori energetici green certificati</t>
        </is>
      </c>
      <c r="I25" s="3" t="inlineStr">
        <is>
          <t>Verificare se sul mercato esistono fornitori con mix energetici sbilanciati sul green che abbiano costi percorribili per l'azienda</t>
        </is>
      </c>
      <c r="J25" s="2" t="n">
        <v>2</v>
      </c>
      <c r="K25" s="2" t="n">
        <v>2</v>
      </c>
      <c r="L25" s="2">
        <f>J25*K25</f>
        <v/>
      </c>
      <c r="M25" s="14">
        <f>IF(L25&lt;=4,"Mitigare il rischio",(IF(AND(L25&gt;4,L25&lt;9),"Mitigare il Rischio","Evitare il Rischio")))</f>
        <v/>
      </c>
      <c r="N25" s="3" t="inlineStr">
        <is>
          <t>Predisposizione del Piano di benchmark sui fornitori di vettori energetici</t>
        </is>
      </c>
      <c r="O25" s="3" t="inlineStr">
        <is>
          <t>Piano di benchmark sui fornitori di vettori energetici</t>
        </is>
      </c>
      <c r="P25" s="3" t="inlineStr">
        <is>
          <t>Verificare almeno 3 fornitori</t>
        </is>
      </c>
      <c r="Q25" s="3" t="inlineStr">
        <is>
          <t>Ufficio Acquisti</t>
        </is>
      </c>
      <c r="R25" s="2" t="inlineStr">
        <is>
          <t>4 ore / uomo</t>
        </is>
      </c>
      <c r="S25" s="2" t="inlineStr">
        <is>
          <t>entro il 31.12.24</t>
        </is>
      </c>
      <c r="T25" s="4" t="inlineStr">
        <is>
          <t>NUMERO DI FORNITORI VERIFICATI</t>
        </is>
      </c>
      <c r="U25" s="42" t="n">
        <v>3</v>
      </c>
      <c r="V25" s="31" t="n"/>
    </row>
    <row r="26" ht="69" customHeight="1">
      <c r="A26" s="2">
        <f>A25+1</f>
        <v/>
      </c>
      <c r="B26" s="2" t="inlineStr">
        <is>
          <t>ISO 14001</t>
        </is>
      </c>
      <c r="C26" s="2" t="inlineStr">
        <is>
          <t>Gestione degli impatti climatici</t>
        </is>
      </c>
      <c r="D26" s="3" t="inlineStr">
        <is>
          <t>Acquisto di prodotti a basso impatto emissivo (Certificazioni di prodotto)</t>
        </is>
      </c>
      <c r="E26" s="30" t="inlineStr">
        <is>
          <t>I</t>
        </is>
      </c>
      <c r="F26" s="3" t="inlineStr">
        <is>
          <t>fornitori</t>
        </is>
      </c>
      <c r="G26" s="3" t="inlineStr">
        <is>
          <t>Nella fase di selezione dei prodotti, verificare le eventuali certificazioni di prodotto che attestino lo stato emissivo degli stessi</t>
        </is>
      </c>
      <c r="H26" s="3" t="inlineStr">
        <is>
          <t xml:space="preserve">Costi elevati per la selezione dei prodotti che abbiano attestazioni green </t>
        </is>
      </c>
      <c r="I26" s="3" t="inlineStr">
        <is>
          <t>Costruire una lista di prodotti green da preferire in acquisto rispetto a quelli non dotati di attestazioni</t>
        </is>
      </c>
      <c r="J26" s="2" t="n">
        <v>3</v>
      </c>
      <c r="K26" s="2" t="n">
        <v>2</v>
      </c>
      <c r="L26" s="2">
        <f>J26*K26</f>
        <v/>
      </c>
      <c r="M26" s="14">
        <f>IF(L26&lt;=4,"Mitigare il rischio",(IF(AND(L26&gt;4,L26&lt;9),"Mitigare il Rischio","Evitare il Rischio")))</f>
        <v/>
      </c>
      <c r="N26" s="3" t="inlineStr">
        <is>
          <t>Identificazione della Lista di prodotti certificati a basso impatto emissivo acquistabili dall'azienda</t>
        </is>
      </c>
      <c r="O26" s="3" t="inlineStr">
        <is>
          <t>Lista di prodotti certificati a basso impatto emissivo acquistabili dall'azienda</t>
        </is>
      </c>
      <c r="P26" s="3" t="inlineStr">
        <is>
          <t>Valutazione nell'acquisto di nuovi prodotti dei requisiti green</t>
        </is>
      </c>
      <c r="Q26" s="3" t="inlineStr">
        <is>
          <t>Ufficio Acquisti</t>
        </is>
      </c>
      <c r="R26" s="2" t="inlineStr">
        <is>
          <t>4 ore / uomo</t>
        </is>
      </c>
      <c r="S26" s="2" t="inlineStr">
        <is>
          <t>entro il 31.12.24</t>
        </is>
      </c>
      <c r="T26" s="4" t="inlineStr">
        <is>
          <t>NUMERO DI PRODOTTI A BASSO IMPATTO CONSIDERATI NEGLI ACQUISTI/TOTALE PRODOTTI ACQUISTATI</t>
        </is>
      </c>
      <c r="U26" s="5" t="n">
        <v>0.3</v>
      </c>
      <c r="V26" s="31" t="n"/>
    </row>
    <row r="27" ht="82.8" customHeight="1">
      <c r="A27" s="2">
        <f>A26+1</f>
        <v/>
      </c>
      <c r="B27" s="2" t="inlineStr">
        <is>
          <t>ISO 14001</t>
        </is>
      </c>
      <c r="C27" s="2" t="inlineStr">
        <is>
          <t>Gestione degli impatti climatici</t>
        </is>
      </c>
      <c r="D27" s="3" t="inlineStr">
        <is>
          <t>Acquisto di prodotti usati, ove possibile</t>
        </is>
      </c>
      <c r="E27" s="30" t="inlineStr">
        <is>
          <t>I</t>
        </is>
      </c>
      <c r="F27" s="3" t="inlineStr">
        <is>
          <t>fornitori</t>
        </is>
      </c>
      <c r="G27" s="3" t="inlineStr">
        <is>
          <t>Nella fase di selezione dei prodotti, verificare la possibilità di acquistare prodotti usati</t>
        </is>
      </c>
      <c r="H27" s="3" t="inlineStr">
        <is>
          <t>Prodotti possono presentare o mancanza di garanzia o non conformità dovuti all'utilizzo</t>
        </is>
      </c>
      <c r="I27" s="3" t="inlineStr">
        <is>
          <t>Qualificare fornitori specilizzati nella commercializzazione di prodotti usati ma testati e con garanzie di conformità.</t>
        </is>
      </c>
      <c r="J27" s="2" t="n">
        <v>3</v>
      </c>
      <c r="K27" s="2" t="n">
        <v>2</v>
      </c>
      <c r="L27" s="2">
        <f>J27*K27</f>
        <v/>
      </c>
      <c r="M27" s="14">
        <f>IF(L27&lt;=4,"Mitigare il rischio",(IF(AND(L27&gt;4,L27&lt;9),"Mitigare il Rischio","Evitare il Rischio")))</f>
        <v/>
      </c>
      <c r="N27" s="3" t="inlineStr">
        <is>
          <t>Predisposizione di una Lista di prodotti usati acquistabili dall'azienda</t>
        </is>
      </c>
      <c r="O27" s="3" t="inlineStr">
        <is>
          <t>Lista di prodotti usati acquistabili</t>
        </is>
      </c>
      <c r="P27" s="3" t="inlineStr">
        <is>
          <t>Valutazione nell'acquisto di prodotti usati</t>
        </is>
      </c>
      <c r="Q27" s="3" t="inlineStr">
        <is>
          <t>Ufficio Acquisti</t>
        </is>
      </c>
      <c r="R27" s="2" t="inlineStr">
        <is>
          <t>4 ore / uomo</t>
        </is>
      </c>
      <c r="S27" s="2" t="inlineStr">
        <is>
          <t>entro il 31.12.24</t>
        </is>
      </c>
      <c r="T27" s="4" t="inlineStr">
        <is>
          <t>NUMERO DI PRODOTTI USATI CONSIDERATI NEGLI ACQUISTI/TOTALE PRODOTTI ACQUISTATI</t>
        </is>
      </c>
      <c r="U27" s="5" t="n">
        <v>0.3</v>
      </c>
      <c r="V27" s="31" t="n"/>
    </row>
    <row r="28" ht="124.2" customHeight="1">
      <c r="A28" s="2">
        <f>A27+1</f>
        <v/>
      </c>
      <c r="B28" s="2" t="inlineStr">
        <is>
          <t>ISO 14001</t>
        </is>
      </c>
      <c r="C28" s="2" t="inlineStr">
        <is>
          <t>Gestione degli impatti climatici</t>
        </is>
      </c>
      <c r="D28" s="3" t="inlineStr">
        <is>
          <t>Processo di valutazione dei fornitori sulla base anche dei propri stati emissivi - Emissioni Dirette “Scope 1”, le emissioni indirette: “Scope 2”, le emissioni generate dalla catena del valore: “Scope 3”</t>
        </is>
      </c>
      <c r="E28" s="30" t="inlineStr">
        <is>
          <t>I/E</t>
        </is>
      </c>
      <c r="F28" s="3" t="inlineStr">
        <is>
          <t>fornitori</t>
        </is>
      </c>
      <c r="G28" s="3" t="inlineStr">
        <is>
          <t>Nella fase di qualifica dei fornitori preferire quelli che hanno calcolato i propri stati emissivi</t>
        </is>
      </c>
      <c r="H28" s="3" t="inlineStr">
        <is>
          <t>Calcoli non certificati da alcun organismo di certificazione</t>
        </is>
      </c>
      <c r="I28" s="3" t="inlineStr">
        <is>
          <t>Portare consapevolezza alla propria catena di fornitura della necessità di promuovere comportamente virtuosi per salvaguardare l'ambiente</t>
        </is>
      </c>
      <c r="J28" s="2" t="n">
        <v>2</v>
      </c>
      <c r="K28" s="2" t="n">
        <v>1</v>
      </c>
      <c r="L28" s="2">
        <f>J28*K28</f>
        <v/>
      </c>
      <c r="M28" s="14">
        <f>IF(L28&lt;=4,"Mitigare il rischio",(IF(AND(L28&gt;4,L28&lt;9),"Mitigare il Rischio","Evitare il Rischio")))</f>
        <v/>
      </c>
      <c r="N28" s="3" t="inlineStr">
        <is>
          <t>Integrazione del Piano di qualifica dei fornitori che preveda la valutazione dei fornitori aggiornata con gli stati emissivi</t>
        </is>
      </c>
      <c r="O28" s="3" t="inlineStr">
        <is>
          <t>Piano di qualifica dei fornitori</t>
        </is>
      </c>
      <c r="P28" s="3" t="inlineStr">
        <is>
          <t>Inserimento del requisito entro l'anno</t>
        </is>
      </c>
      <c r="Q28" s="3" t="inlineStr">
        <is>
          <t>Ufficio Acquisti</t>
        </is>
      </c>
      <c r="R28" s="2" t="inlineStr">
        <is>
          <t>4 ore / uomo</t>
        </is>
      </c>
      <c r="S28" s="2" t="inlineStr">
        <is>
          <t>entro il 31.12.24</t>
        </is>
      </c>
      <c r="T28" s="4" t="inlineStr">
        <is>
          <t>NUMERO DI FORNITORI QUALIFICATI CON ASPETTI GREEN SUL TOTALE FORNITORI</t>
        </is>
      </c>
      <c r="U28" s="5" t="n">
        <v>1</v>
      </c>
      <c r="V28" s="31" t="n"/>
    </row>
    <row r="29" ht="96.59999999999999" customHeight="1">
      <c r="A29" s="2">
        <f>A28+1</f>
        <v/>
      </c>
      <c r="B29" s="2" t="inlineStr">
        <is>
          <t>ISO 14001</t>
        </is>
      </c>
      <c r="C29" s="2" t="inlineStr">
        <is>
          <t>Gestione degli impatti climatici</t>
        </is>
      </c>
      <c r="D29" s="3" t="inlineStr">
        <is>
          <t>Valutazione del piano di spostamento casa-lavoro dei lavoratori per favorire soluzioni per mitigare le emissioni prodotte dagli spostamenti</t>
        </is>
      </c>
      <c r="E29" s="30" t="inlineStr">
        <is>
          <t>I</t>
        </is>
      </c>
      <c r="F29" s="3" t="inlineStr">
        <is>
          <t>dipendenti</t>
        </is>
      </c>
      <c r="G29" s="3" t="inlineStr">
        <is>
          <t>Verificare tramite survey anonima il piano spostamenti casa lavoro dei propri dipendenti</t>
        </is>
      </c>
      <c r="H29" s="3" t="inlineStr">
        <is>
          <t>Richieste da parte dei dipendenti di sussidi per l'acquisto di abbonamenti al Trasporto Pubblico Locale</t>
        </is>
      </c>
      <c r="I29" s="3" t="inlineStr">
        <is>
          <t>Favorire piani di lavoro che consentano di capitalizzare strumenti come lo smart working</t>
        </is>
      </c>
      <c r="J29" s="2" t="n">
        <v>2</v>
      </c>
      <c r="K29" s="2" t="n">
        <v>1</v>
      </c>
      <c r="L29" s="2">
        <f>J29*K29</f>
        <v/>
      </c>
      <c r="M29" s="14">
        <f>IF(L29&lt;=4,"Mitigare il rischio",(IF(AND(L29&gt;4,L29&lt;9),"Mitigare il Rischio","Evitare il Rischio")))</f>
        <v/>
      </c>
      <c r="N29" s="3" t="inlineStr">
        <is>
          <t>Redazione del Piano di spostamento casa- lavoro.</t>
        </is>
      </c>
      <c r="O29" s="3" t="inlineStr">
        <is>
          <t>Piano di spostamento casa- lavoro</t>
        </is>
      </c>
      <c r="P29" s="3" t="inlineStr">
        <is>
          <t>Ridurre l'impatto emissivo dei propri lavoratori</t>
        </is>
      </c>
      <c r="Q29" s="3" t="inlineStr">
        <is>
          <t>Amministratore Unico</t>
        </is>
      </c>
      <c r="R29" s="2" t="inlineStr">
        <is>
          <t>4 ore / uomo</t>
        </is>
      </c>
      <c r="S29" s="2" t="inlineStr">
        <is>
          <t>entro il 31.12.24</t>
        </is>
      </c>
      <c r="T29" s="4" t="inlineStr">
        <is>
          <t>RIDUZIONE IMPATTO EMISSIVO DEGLI SPOSTAMENTI DEI LAVORATORI</t>
        </is>
      </c>
      <c r="U29" s="5" t="n">
        <v>0.1</v>
      </c>
      <c r="V29" s="31" t="n"/>
    </row>
    <row r="30" ht="69" customHeight="1">
      <c r="A30" s="2">
        <f>A29+1</f>
        <v/>
      </c>
      <c r="B30" s="2" t="inlineStr">
        <is>
          <t>ISO 14001</t>
        </is>
      </c>
      <c r="C30" s="2" t="inlineStr">
        <is>
          <t>Gestione degli impatti climatici</t>
        </is>
      </c>
      <c r="D30" s="3" t="inlineStr">
        <is>
          <t>Regolamenti e politiche</t>
        </is>
      </c>
      <c r="E30" s="30" t="inlineStr">
        <is>
          <t>I/E</t>
        </is>
      </c>
      <c r="F30" s="3" t="inlineStr">
        <is>
          <t>Clienti/fornitori/dipendenti</t>
        </is>
      </c>
      <c r="G30" s="3" t="inlineStr">
        <is>
          <t>Esaminare le leggi, i regolamenti e le politiche governative riguardanti il cambiamento climatico e l'ambiente</t>
        </is>
      </c>
      <c r="H30" s="3" t="inlineStr">
        <is>
          <t>restrizioni sulle emissioni di gas serra,  normative sulla gestione dei rifiuti e obblighi di rendicontazione ambientale</t>
        </is>
      </c>
      <c r="I30" s="3" t="inlineStr">
        <is>
          <t xml:space="preserve"> incentivi per le energie rinnovabili</t>
        </is>
      </c>
      <c r="J30" s="2" t="n">
        <v>2</v>
      </c>
      <c r="K30" s="2" t="n">
        <v>1</v>
      </c>
      <c r="L30" s="2">
        <f>J30*K30</f>
        <v/>
      </c>
      <c r="M30" s="14">
        <f>IF(L30&lt;=4,"Mitigare il rischio",(IF(AND(L30&gt;4,L30&lt;9),"Mitigare il Rischio","Evitare il Rischio")))</f>
        <v/>
      </c>
      <c r="N30" s="3" t="inlineStr">
        <is>
          <t>Verificare le nuove normative in tema di sostenibilità</t>
        </is>
      </c>
      <c r="O30" s="3" t="inlineStr">
        <is>
          <t>Norme e Leggi</t>
        </is>
      </c>
      <c r="P30" s="3" t="inlineStr">
        <is>
          <t>Aggiornare registro normativo e legislativo</t>
        </is>
      </c>
      <c r="Q30" s="3" t="inlineStr">
        <is>
          <t>Amministratore Unico</t>
        </is>
      </c>
      <c r="R30" s="2" t="inlineStr">
        <is>
          <t>4 ore / uomo</t>
        </is>
      </c>
      <c r="S30" s="2" t="inlineStr">
        <is>
          <t>entro il 31.12.24</t>
        </is>
      </c>
      <c r="T30" s="4" t="inlineStr">
        <is>
          <t>AGGIORNAMENTO REGISTRO LEGISLATIVO</t>
        </is>
      </c>
      <c r="U30" s="5" t="inlineStr">
        <is>
          <t>SI</t>
        </is>
      </c>
      <c r="V30" s="31" t="n"/>
    </row>
    <row r="31" ht="96.59999999999999" customHeight="1">
      <c r="A31" s="2">
        <f>A30+1</f>
        <v/>
      </c>
      <c r="B31" s="2" t="inlineStr">
        <is>
          <t>ISO 14001</t>
        </is>
      </c>
      <c r="C31" s="2" t="inlineStr">
        <is>
          <t>Gestione degli impatti climatici</t>
        </is>
      </c>
      <c r="D31" s="3" t="inlineStr">
        <is>
          <t>Tendenze di mercato</t>
        </is>
      </c>
      <c r="E31" s="30" t="inlineStr">
        <is>
          <t>E</t>
        </is>
      </c>
      <c r="F31" s="3" t="inlineStr">
        <is>
          <t>Clienti</t>
        </is>
      </c>
      <c r="G31" s="3" t="inlineStr">
        <is>
          <t>Analizzare come le preferenze dei consumatori e le esigenze del mercato stanno cambiando a causa del crescente interesse per la sostenibilità ambientale</t>
        </is>
      </c>
      <c r="H31" s="3" t="inlineStr">
        <is>
          <t xml:space="preserve"> aumento della domanda di prodotti ecologici, servizi a basso impatto ambientale e investimenti in aziende con politiche ambientali solide</t>
        </is>
      </c>
      <c r="I31" s="3" t="inlineStr">
        <is>
          <t>Implementazione di politiche green per incontrare i futuri bisogni della clientela</t>
        </is>
      </c>
      <c r="J31" s="2" t="n">
        <v>2</v>
      </c>
      <c r="K31" s="2" t="n">
        <v>1</v>
      </c>
      <c r="L31" s="2">
        <f>J31*K31</f>
        <v/>
      </c>
      <c r="M31" s="14">
        <f>IF(L31&lt;=4,"Mitigare il rischio",(IF(AND(L31&gt;4,L31&lt;9),"Mitigare il Rischio","Evitare il Rischio")))</f>
        <v/>
      </c>
      <c r="N31" s="3" t="inlineStr">
        <is>
          <t>Acquisizione di survey in merito alle preferenze dei consumatori in tema di sostenibilità</t>
        </is>
      </c>
      <c r="O31" s="3" t="inlineStr">
        <is>
          <t>Survey</t>
        </is>
      </c>
      <c r="P31" s="3" t="inlineStr">
        <is>
          <t>Effettuare o acquisire survey</t>
        </is>
      </c>
      <c r="Q31" s="3" t="inlineStr">
        <is>
          <t>Amministratore Unico</t>
        </is>
      </c>
      <c r="R31" s="2" t="inlineStr">
        <is>
          <t>4 ore / uomo</t>
        </is>
      </c>
      <c r="S31" s="2" t="inlineStr">
        <is>
          <t>entro il 31.12.24</t>
        </is>
      </c>
      <c r="T31" s="4" t="inlineStr">
        <is>
          <t>SURVEY SU SOSTENIBILITA'</t>
        </is>
      </c>
      <c r="U31" s="5" t="inlineStr">
        <is>
          <t>SI</t>
        </is>
      </c>
      <c r="V31" s="31" t="n"/>
    </row>
    <row r="32" ht="55.2" customHeight="1">
      <c r="A32" s="2">
        <f>A31+1</f>
        <v/>
      </c>
      <c r="B32" s="2" t="inlineStr">
        <is>
          <t>ISO 14001</t>
        </is>
      </c>
      <c r="C32" s="2" t="inlineStr">
        <is>
          <t>Gestione degli impatti climatici</t>
        </is>
      </c>
      <c r="D32" s="3" t="inlineStr">
        <is>
          <t>interruzioni nella catena di approvvigionamento a causa di eventi climatici estremi</t>
        </is>
      </c>
      <c r="E32" s="30" t="inlineStr">
        <is>
          <t>I/E</t>
        </is>
      </c>
      <c r="F32" s="3" t="inlineStr">
        <is>
          <t>Fornitori</t>
        </is>
      </c>
      <c r="G32" s="3" t="inlineStr">
        <is>
          <t>Analizzare il rischio della catena logistica</t>
        </is>
      </c>
      <c r="H32" s="3" t="inlineStr">
        <is>
          <t>interruzioni nella catena di approvvigionamento</t>
        </is>
      </c>
      <c r="I32" s="3" t="inlineStr">
        <is>
          <t>Qualificare fornitori che siano più prossimi alla sede aziendale</t>
        </is>
      </c>
      <c r="J32" s="2" t="n">
        <v>2</v>
      </c>
      <c r="K32" s="2" t="n">
        <v>1</v>
      </c>
      <c r="L32" s="2">
        <f>J32*K32</f>
        <v/>
      </c>
      <c r="M32" s="14">
        <f>IF(L32&lt;=4,"Mitigare il rischio",(IF(AND(L32&gt;4,L32&lt;9),"Mitigare il Rischio","Evitare il Rischio")))</f>
        <v/>
      </c>
      <c r="N32" s="3" t="inlineStr">
        <is>
          <t>Riverificare il pannello dei fornitori qualificati in ottica di sostenibilitaà</t>
        </is>
      </c>
      <c r="O32" s="3" t="inlineStr">
        <is>
          <t>registro fornitori qualificati</t>
        </is>
      </c>
      <c r="P32" s="3" t="inlineStr">
        <is>
          <t>Valutare fornitori in tema di sostenibilità</t>
        </is>
      </c>
      <c r="Q32" s="3" t="inlineStr">
        <is>
          <t>Amministratore Unico</t>
        </is>
      </c>
      <c r="R32" s="2" t="inlineStr">
        <is>
          <t>4 ore / uomo</t>
        </is>
      </c>
      <c r="S32" s="2" t="inlineStr">
        <is>
          <t>entro il 31.12.24</t>
        </is>
      </c>
      <c r="T32" s="4" t="inlineStr">
        <is>
          <t>NUMERO FORNITORI QUALIFICATI/NUMERO FORNITORI TOTALI</t>
        </is>
      </c>
      <c r="U32" s="5" t="n">
        <v>0.1</v>
      </c>
      <c r="V32" s="31" t="n"/>
    </row>
    <row r="33" ht="138" customHeight="1">
      <c r="A33" s="2">
        <f>A32+1</f>
        <v/>
      </c>
      <c r="B33" s="2" t="inlineStr">
        <is>
          <t>ISO 14001</t>
        </is>
      </c>
      <c r="C33" s="2" t="inlineStr">
        <is>
          <t>Gestione degli impatti climatici</t>
        </is>
      </c>
      <c r="D33" s="3" t="inlineStr">
        <is>
          <t>Catena di approvvigionamento</t>
        </is>
      </c>
      <c r="E33" s="30" t="inlineStr">
        <is>
          <t>I/E</t>
        </is>
      </c>
      <c r="F33" s="3" t="inlineStr">
        <is>
          <t>Fornitori</t>
        </is>
      </c>
      <c r="G33" s="3" t="inlineStr">
        <is>
          <t>Valutare come il cambiamento climatico sta influenzando la catena di approvvigionamento dell'azienda, comprese le vulnerabilità nei fornitori chiave, i rischi legati alla disponibilità delle materie prime e i potenziali impatti sui costi di produzione</t>
        </is>
      </c>
      <c r="H33" s="3" t="inlineStr">
        <is>
          <t>Indisponibilità di alcune materie prime</t>
        </is>
      </c>
      <c r="I33" s="3" t="inlineStr">
        <is>
          <t>Fare un risk assessment per verificare l'impiego di materie prime green con buona disponibilità sul mercato</t>
        </is>
      </c>
      <c r="J33" s="2" t="n">
        <v>2</v>
      </c>
      <c r="K33" s="2" t="n">
        <v>1</v>
      </c>
      <c r="L33" s="2">
        <f>J33*K33</f>
        <v/>
      </c>
      <c r="M33" s="14">
        <f>IF(L33&lt;=4,"Mitigare il rischio",(IF(AND(L33&gt;4,L33&lt;9),"Mitigare il Rischio","Evitare il Rischio")))</f>
        <v/>
      </c>
      <c r="N33" s="3" t="inlineStr">
        <is>
          <t>Riverificare il pannello dei fornitori qualificati in ottica di sostenibilitaà</t>
        </is>
      </c>
      <c r="O33" s="3" t="inlineStr">
        <is>
          <t>registro fornitori qualificati</t>
        </is>
      </c>
      <c r="P33" s="3" t="inlineStr">
        <is>
          <t>Valutare fornitori in tema di sostenibilità</t>
        </is>
      </c>
      <c r="Q33" s="3" t="inlineStr">
        <is>
          <t>Amministratore Unico</t>
        </is>
      </c>
      <c r="R33" s="2" t="inlineStr">
        <is>
          <t>4 ore / uomo</t>
        </is>
      </c>
      <c r="S33" s="2" t="inlineStr">
        <is>
          <t>entro il 31.12.24</t>
        </is>
      </c>
      <c r="T33" s="4" t="inlineStr">
        <is>
          <t>NUMERO FORNITORI QUALIFICATI/NUMERO FORNITORI TOTALI</t>
        </is>
      </c>
      <c r="U33" s="5" t="n">
        <v>1</v>
      </c>
      <c r="V33" s="31" t="n"/>
    </row>
    <row r="34" ht="207" customHeight="1">
      <c r="A34" s="2">
        <f>A33+1</f>
        <v/>
      </c>
      <c r="B34" s="2" t="inlineStr">
        <is>
          <t>ISO 14001</t>
        </is>
      </c>
      <c r="C34" s="2" t="inlineStr">
        <is>
          <t>Gestione degli impatti climatici</t>
        </is>
      </c>
      <c r="D34" s="3" t="inlineStr">
        <is>
          <t>Reputazione aziendale</t>
        </is>
      </c>
      <c r="E34" s="30" t="inlineStr">
        <is>
          <t>I/E</t>
        </is>
      </c>
      <c r="F34" s="3" t="inlineStr">
        <is>
          <t>Clienti</t>
        </is>
      </c>
      <c r="G34" s="3" t="inlineStr">
        <is>
          <t>Considerare come la gestione delle questioni legate al cambiamento climatico influisce sulla reputazione dell'azienda presso i clienti, gli investitori, i dipendenti e altre parti interessate. Le aziende che dimostrano impegno per la sostenibilità ambientale possono godere di una migliore reputazione e di una maggiore fiducia del mercato</t>
        </is>
      </c>
      <c r="H34" s="3" t="inlineStr">
        <is>
          <t>Scarsa reputazione sul mercato in caso di mancanza di adozione di politiche green</t>
        </is>
      </c>
      <c r="I34" s="3" t="inlineStr">
        <is>
          <t>Intensificare le attività di rilevazione della carbon footprint aziendale con relativa formalizzazione della imronta di carbonio aziendale.</t>
        </is>
      </c>
      <c r="J34" s="2" t="n">
        <v>2</v>
      </c>
      <c r="K34" s="2" t="n">
        <v>1</v>
      </c>
      <c r="L34" s="2">
        <f>J34*K34</f>
        <v/>
      </c>
      <c r="M34" s="14">
        <f>IF(L34&lt;=4,"Mitigare il rischio",(IF(AND(L34&gt;4,L34&lt;9),"Mitigare il Rischio","Evitare il Rischio")))</f>
        <v/>
      </c>
      <c r="N34" s="3" t="inlineStr">
        <is>
          <t>Acquisizione di survey in merito alle preferenze dei consumatori in tema di sostenibilità</t>
        </is>
      </c>
      <c r="O34" s="3" t="inlineStr">
        <is>
          <t>Survey</t>
        </is>
      </c>
      <c r="P34" s="3" t="inlineStr">
        <is>
          <t>Effettuare o acquisire survey</t>
        </is>
      </c>
      <c r="Q34" s="3" t="inlineStr">
        <is>
          <t>Amministratore Unico</t>
        </is>
      </c>
      <c r="R34" s="2" t="inlineStr">
        <is>
          <t>4 ore / uomo</t>
        </is>
      </c>
      <c r="S34" s="2" t="inlineStr">
        <is>
          <t>entro il 31.12.24</t>
        </is>
      </c>
      <c r="T34" s="4" t="inlineStr">
        <is>
          <t>SURVEY SU SOSTENIBILITA'</t>
        </is>
      </c>
      <c r="U34" s="5" t="inlineStr">
        <is>
          <t>SI</t>
        </is>
      </c>
      <c r="V34" s="31" t="n"/>
    </row>
  </sheetData>
  <mergeCells count="6">
    <mergeCell ref="T2:V2"/>
    <mergeCell ref="E2:I2"/>
    <mergeCell ref="U1:V1"/>
    <mergeCell ref="A2:D2"/>
    <mergeCell ref="J2:M2"/>
    <mergeCell ref="P2:S2"/>
  </mergeCells>
  <conditionalFormatting sqref="L4:L21">
    <cfRule type="colorScale" priority="87">
      <colorScale>
        <cfvo type="num" val="1"/>
        <cfvo type="num" val="4"/>
        <cfvo type="num" val="9"/>
        <color rgb="FF3FF414"/>
        <color rgb="FFFFFF00"/>
        <color rgb="FFFF0000"/>
      </colorScale>
    </cfRule>
  </conditionalFormatting>
  <conditionalFormatting sqref="M5:M18">
    <cfRule type="colorScale" priority="493">
      <colorScale>
        <cfvo type="num" val="4"/>
        <cfvo type="max"/>
        <color rgb="FFFFFF00"/>
        <color rgb="FFFF6600"/>
      </colorScale>
    </cfRule>
  </conditionalFormatting>
  <conditionalFormatting sqref="M19">
    <cfRule type="colorScale" priority="74">
      <colorScale>
        <cfvo type="num" val="4"/>
        <cfvo type="max"/>
        <color rgb="FFFFFF00"/>
        <color rgb="FFFF6600"/>
      </colorScale>
    </cfRule>
  </conditionalFormatting>
  <conditionalFormatting sqref="M20">
    <cfRule type="colorScale" priority="53">
      <colorScale>
        <cfvo type="num" val="4"/>
        <cfvo type="max"/>
        <color rgb="FFFFFF00"/>
        <color rgb="FFFF6600"/>
      </colorScale>
    </cfRule>
  </conditionalFormatting>
  <conditionalFormatting sqref="M20:M21">
    <cfRule type="colorScale" priority="452">
      <colorScale>
        <cfvo type="num" val="4"/>
        <cfvo type="max"/>
        <color rgb="FFFFFF00"/>
        <color rgb="FFFF6600"/>
      </colorScale>
    </cfRule>
  </conditionalFormatting>
  <conditionalFormatting sqref="M21">
    <cfRule type="colorScale" priority="39">
      <colorScale>
        <cfvo type="num" val="4"/>
        <cfvo type="max"/>
        <color rgb="FFFFFF00"/>
        <color rgb="FFFF6600"/>
      </colorScale>
    </cfRule>
  </conditionalFormatting>
  <conditionalFormatting sqref="L22:L34">
    <cfRule type="colorScale" priority="8">
      <colorScale>
        <cfvo type="num" val="4"/>
        <cfvo type="max"/>
        <color rgb="FFFFFF00"/>
        <color rgb="FFFF6600"/>
      </colorScale>
    </cfRule>
    <cfRule type="colorScale" priority="9">
      <colorScale>
        <cfvo type="num" val="4"/>
        <cfvo type="max"/>
        <color rgb="FFFFFF00"/>
        <color rgb="FFFF6600"/>
      </colorScale>
    </cfRule>
    <cfRule type="colorScale" priority="10">
      <colorScale>
        <cfvo type="num" val="4"/>
        <cfvo type="max"/>
        <color rgb="FFFFFF00"/>
        <color rgb="FFFF6600"/>
      </colorScale>
    </cfRule>
    <cfRule type="colorScale" priority="11">
      <colorScale>
        <cfvo type="num" val="4"/>
        <cfvo type="max"/>
        <color rgb="FFFFFF00"/>
        <color rgb="FFFF6600"/>
      </colorScale>
    </cfRule>
    <cfRule type="colorScale" priority="12">
      <colorScale>
        <cfvo type="num" val="1"/>
        <cfvo type="num" val="4"/>
        <cfvo type="num" val="9"/>
        <color rgb="FF3FF414"/>
        <color rgb="FFFFFF00"/>
        <color rgb="FFFF0000"/>
      </colorScale>
    </cfRule>
    <cfRule type="colorScale" priority="13">
      <colorScale>
        <cfvo type="num" val="4"/>
        <cfvo type="max"/>
        <color rgb="FFFFFF00"/>
        <color rgb="FFFF6600"/>
      </colorScale>
    </cfRule>
  </conditionalFormatting>
  <conditionalFormatting sqref="L28:L34">
    <cfRule type="colorScale" priority="1">
      <colorScale>
        <cfvo type="num" val="4"/>
        <cfvo type="max"/>
        <color rgb="FFFFFF00"/>
        <color rgb="FFFF6600"/>
      </colorScale>
    </cfRule>
    <cfRule type="colorScale" priority="2">
      <colorScale>
        <cfvo type="num" val="4"/>
        <cfvo type="max"/>
        <color rgb="FFFFFF00"/>
        <color rgb="FFFF6600"/>
      </colorScale>
    </cfRule>
    <cfRule type="colorScale" priority="3">
      <colorScale>
        <cfvo type="num" val="4"/>
        <cfvo type="max"/>
        <color rgb="FFFFFF00"/>
        <color rgb="FFFF6600"/>
      </colorScale>
    </cfRule>
  </conditionalFormatting>
  <conditionalFormatting sqref="M22:M34">
    <cfRule type="colorScale" priority="4">
      <colorScale>
        <cfvo type="num" val="4"/>
        <cfvo type="max"/>
        <color rgb="FFFFFF00"/>
        <color rgb="FFFF6600"/>
      </colorScale>
    </cfRule>
    <cfRule type="colorScale" priority="5">
      <colorScale>
        <cfvo type="num" val="4"/>
        <cfvo type="max"/>
        <color rgb="FFFFFF00"/>
        <color rgb="FFFF6600"/>
      </colorScale>
    </cfRule>
    <cfRule type="colorScale" priority="6">
      <colorScale>
        <cfvo type="num" val="4"/>
        <cfvo type="max"/>
        <color rgb="FFFFFF00"/>
        <color rgb="FFFF6600"/>
      </colorScale>
    </cfRule>
    <cfRule type="colorScale" priority="7">
      <colorScale>
        <cfvo type="num" val="4"/>
        <cfvo type="max"/>
        <color rgb="FFFFFF00"/>
        <color rgb="FFFF6600"/>
      </colorScale>
    </cfRule>
    <cfRule type="colorScale" priority="14">
      <colorScale>
        <cfvo type="num" val="4"/>
        <cfvo type="max"/>
        <color rgb="FFFFFF00"/>
        <color rgb="FFFF6600"/>
      </colorScale>
    </cfRule>
  </conditionalFormatting>
  <pageMargins left="0.1181102362204725" right="0.1181102362204725" top="0.5511811023622047" bottom="0.3937007874015748" header="0.3149606299212598" footer="0.3149606299212598"/>
  <pageSetup orientation="landscape" paperSize="9" scale="64" fitToHeight="0" horizontalDpi="4294967293" verticalDpi="4294967293"/>
  <headerFooter>
    <oddHeader>&amp;Llogo aziendale&amp;CMatrice di analisi del contesto&amp;RREV. 00</oddHeader>
    <oddFooter>&amp;L&amp;C&amp;8 MasterComplianceHSQE by Maurizio Gustinicchi Consulting&amp;R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Maurizio Gustinicchi Consulting</dc:creator>
  <dc:description xmlns:dc="http://purl.org/dc/elements/1.1/">MasterComplianceHSQE by Maurizio Gustinicchi Consulting</dc:description>
  <dcterms:created xmlns:dcterms="http://purl.org/dc/terms/" xmlns:xsi="http://www.w3.org/2001/XMLSchema-instance" xsi:type="dcterms:W3CDTF">2016-03-07T09:08:58Z</dcterms:created>
  <dcterms:modified xmlns:dcterms="http://purl.org/dc/terms/" xmlns:xsi="http://www.w3.org/2001/XMLSchema-instance" xsi:type="dcterms:W3CDTF">2026-07-27T13:25:23Z</dcterms:modified>
  <cp:lastModifiedBy>Maurizio Gustinicchi Consulting</cp:lastModifiedBy>
</cp:coreProperties>
</file>